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.local\Downloads\"/>
    </mc:Choice>
  </mc:AlternateContent>
  <xr:revisionPtr revIDLastSave="0" documentId="13_ncr:1_{1670CB9E-E55F-45D5-97C6-D14870490AF1}" xr6:coauthVersionLast="47" xr6:coauthVersionMax="47" xr10:uidLastSave="{00000000-0000-0000-0000-000000000000}"/>
  <bookViews>
    <workbookView xWindow="-108" yWindow="-108" windowWidth="23256" windowHeight="12576" firstSheet="2" activeTab="4" xr2:uid="{00000000-000D-0000-FFFF-FFFF00000000}"/>
  </bookViews>
  <sheets>
    <sheet name="Poste1" sheetId="1" r:id="rId1"/>
    <sheet name="Poste 2" sheetId="2" r:id="rId2"/>
    <sheet name="Poste 3+4" sheetId="3" r:id="rId3"/>
    <sheet name="Dim_stock" sheetId="4" r:id="rId4"/>
    <sheet name="Gestion-stock-labo2" sheetId="7" r:id="rId5"/>
    <sheet name="Appr interne" sheetId="9" r:id="rId6"/>
    <sheet name="manutation" sheetId="11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7" l="1"/>
  <c r="H23" i="7"/>
  <c r="H24" i="7"/>
  <c r="H25" i="7"/>
  <c r="H26" i="7"/>
  <c r="H27" i="7"/>
  <c r="H22" i="7"/>
  <c r="P3" i="7"/>
  <c r="K11" i="9"/>
  <c r="K12" i="9"/>
  <c r="K13" i="9"/>
  <c r="K14" i="9"/>
  <c r="K15" i="9"/>
  <c r="K16" i="9"/>
  <c r="K19" i="9"/>
  <c r="K20" i="9"/>
  <c r="K21" i="9"/>
  <c r="K22" i="9"/>
  <c r="K23" i="9"/>
  <c r="K3" i="9"/>
  <c r="K4" i="9"/>
  <c r="K2" i="9"/>
  <c r="K9" i="9"/>
  <c r="K8" i="9"/>
  <c r="Q9" i="7"/>
  <c r="Q10" i="7"/>
  <c r="Q12" i="7"/>
  <c r="Q13" i="7"/>
  <c r="Q14" i="7"/>
  <c r="Q15" i="7"/>
  <c r="Q16" i="7"/>
  <c r="Q17" i="7"/>
  <c r="Q18" i="7"/>
  <c r="Q4" i="7"/>
  <c r="Q5" i="7"/>
  <c r="H9" i="9"/>
  <c r="H11" i="9"/>
  <c r="H12" i="9"/>
  <c r="H13" i="9"/>
  <c r="H14" i="9"/>
  <c r="H15" i="9"/>
  <c r="H16" i="9"/>
  <c r="H17" i="9"/>
  <c r="K17" i="9" s="1"/>
  <c r="H19" i="9"/>
  <c r="H20" i="9"/>
  <c r="H21" i="9"/>
  <c r="H22" i="9"/>
  <c r="H23" i="9"/>
  <c r="H24" i="9"/>
  <c r="K24" i="9" s="1"/>
  <c r="H25" i="9"/>
  <c r="K25" i="9" s="1"/>
  <c r="H6" i="9"/>
  <c r="H8" i="9"/>
  <c r="D2" i="9"/>
  <c r="E2" i="9" s="1"/>
  <c r="H2" i="9"/>
  <c r="D3" i="9"/>
  <c r="H3" i="9"/>
  <c r="D4" i="9"/>
  <c r="E4" i="9" s="1"/>
  <c r="H4" i="9"/>
  <c r="D5" i="9"/>
  <c r="E5" i="9" s="1"/>
  <c r="H5" i="9"/>
  <c r="D6" i="9"/>
  <c r="E6" i="9" s="1"/>
  <c r="D8" i="9"/>
  <c r="E8" i="9" s="1"/>
  <c r="D9" i="9"/>
  <c r="E9" i="9" s="1"/>
  <c r="D11" i="9"/>
  <c r="E11" i="9" s="1"/>
  <c r="D12" i="9"/>
  <c r="E12" i="9" s="1"/>
  <c r="D13" i="9"/>
  <c r="E13" i="9" s="1"/>
  <c r="D14" i="9"/>
  <c r="E14" i="9" s="1"/>
  <c r="D15" i="9"/>
  <c r="E15" i="9" s="1"/>
  <c r="D16" i="9"/>
  <c r="E16" i="9" s="1"/>
  <c r="D17" i="9"/>
  <c r="E17" i="9" s="1"/>
  <c r="D19" i="9"/>
  <c r="E19" i="9" s="1"/>
  <c r="D20" i="9"/>
  <c r="E20" i="9" s="1"/>
  <c r="D21" i="9"/>
  <c r="E21" i="9" s="1"/>
  <c r="D22" i="9"/>
  <c r="E22" i="9" s="1"/>
  <c r="D23" i="9"/>
  <c r="E23" i="9" s="1"/>
  <c r="D24" i="9"/>
  <c r="E24" i="9" s="1"/>
  <c r="D25" i="9"/>
  <c r="E25" i="9" s="1"/>
  <c r="Q3" i="7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F19" i="4"/>
  <c r="G19" i="4" s="1"/>
  <c r="L19" i="4" s="1"/>
  <c r="F20" i="4"/>
  <c r="G20" i="4" s="1"/>
  <c r="L20" i="4" s="1"/>
  <c r="F21" i="4"/>
  <c r="G21" i="4" s="1"/>
  <c r="L21" i="4" s="1"/>
  <c r="F22" i="4"/>
  <c r="G22" i="4" s="1"/>
  <c r="L22" i="4" s="1"/>
  <c r="F23" i="4"/>
  <c r="G23" i="4" s="1"/>
  <c r="L23" i="4" s="1"/>
  <c r="F24" i="4"/>
  <c r="G24" i="4" s="1"/>
  <c r="L24" i="4" s="1"/>
  <c r="F25" i="4"/>
  <c r="G25" i="4" s="1"/>
  <c r="L25" i="4" s="1"/>
  <c r="I29" i="3"/>
  <c r="I30" i="3"/>
  <c r="I5" i="7"/>
  <c r="J5" i="7"/>
  <c r="H3" i="7"/>
  <c r="J2" i="4"/>
  <c r="I25" i="4" l="1"/>
  <c r="I20" i="4"/>
  <c r="I19" i="4"/>
  <c r="I21" i="4"/>
  <c r="I24" i="4"/>
  <c r="I23" i="4"/>
  <c r="I22" i="4"/>
  <c r="H18" i="7" l="1"/>
  <c r="F18" i="7"/>
  <c r="G18" i="7" s="1"/>
  <c r="H17" i="7"/>
  <c r="F17" i="7"/>
  <c r="G17" i="7" s="1"/>
  <c r="H16" i="7"/>
  <c r="F16" i="7"/>
  <c r="G16" i="7" s="1"/>
  <c r="H15" i="7"/>
  <c r="F15" i="7"/>
  <c r="G15" i="7" s="1"/>
  <c r="H14" i="7"/>
  <c r="F14" i="7"/>
  <c r="G14" i="7" s="1"/>
  <c r="H13" i="7"/>
  <c r="F13" i="7"/>
  <c r="G13" i="7" s="1"/>
  <c r="H12" i="7"/>
  <c r="F12" i="7"/>
  <c r="G12" i="7" s="1"/>
  <c r="H10" i="7"/>
  <c r="F10" i="7"/>
  <c r="G10" i="7" s="1"/>
  <c r="H9" i="7"/>
  <c r="F9" i="7"/>
  <c r="G9" i="7" s="1"/>
  <c r="H7" i="7"/>
  <c r="F7" i="7"/>
  <c r="G7" i="7" s="1"/>
  <c r="H6" i="7"/>
  <c r="F6" i="7"/>
  <c r="G6" i="7" s="1"/>
  <c r="H5" i="7"/>
  <c r="P5" i="7" s="1"/>
  <c r="F5" i="7"/>
  <c r="H4" i="7"/>
  <c r="P4" i="7" s="1"/>
  <c r="F4" i="7"/>
  <c r="G4" i="7" s="1"/>
  <c r="I3" i="7"/>
  <c r="F3" i="7"/>
  <c r="G3" i="7" s="1"/>
  <c r="J3" i="7" s="1"/>
  <c r="I6" i="7" l="1"/>
  <c r="I9" i="7"/>
  <c r="P9" i="7"/>
  <c r="G5" i="7"/>
  <c r="K5" i="7"/>
  <c r="I7" i="7"/>
  <c r="I10" i="7"/>
  <c r="P10" i="7"/>
  <c r="I18" i="7"/>
  <c r="P18" i="7"/>
  <c r="I17" i="7"/>
  <c r="P17" i="7"/>
  <c r="I12" i="7"/>
  <c r="P12" i="7"/>
  <c r="I14" i="7"/>
  <c r="P14" i="7"/>
  <c r="I16" i="7"/>
  <c r="P16" i="7"/>
  <c r="I13" i="7"/>
  <c r="P13" i="7"/>
  <c r="I15" i="7"/>
  <c r="P15" i="7"/>
  <c r="J15" i="7"/>
  <c r="K15" i="7" s="1"/>
  <c r="J4" i="7"/>
  <c r="J16" i="7"/>
  <c r="K16" i="7" s="1"/>
  <c r="J18" i="7"/>
  <c r="K18" i="7" s="1"/>
  <c r="J6" i="7"/>
  <c r="K6" i="7" s="1"/>
  <c r="J10" i="7"/>
  <c r="K10" i="7" s="1"/>
  <c r="J13" i="7"/>
  <c r="K13" i="7" s="1"/>
  <c r="J17" i="7"/>
  <c r="K17" i="7" s="1"/>
  <c r="J7" i="7"/>
  <c r="K7" i="7" s="1"/>
  <c r="J12" i="7"/>
  <c r="K12" i="7" s="1"/>
  <c r="J14" i="7"/>
  <c r="K14" i="7" s="1"/>
  <c r="J9" i="7"/>
  <c r="K9" i="7" s="1"/>
  <c r="K4" i="7" l="1"/>
  <c r="K3" i="7"/>
  <c r="J3" i="4"/>
  <c r="F3" i="4"/>
  <c r="G3" i="4" s="1"/>
  <c r="L3" i="4" s="1"/>
  <c r="F4" i="4"/>
  <c r="G4" i="4" s="1"/>
  <c r="L4" i="4" s="1"/>
  <c r="J4" i="4"/>
  <c r="K4" i="4" s="1"/>
  <c r="F5" i="4"/>
  <c r="G5" i="4" s="1"/>
  <c r="L5" i="4" s="1"/>
  <c r="J5" i="4"/>
  <c r="K5" i="4" s="1"/>
  <c r="F6" i="4"/>
  <c r="G6" i="4" s="1"/>
  <c r="L6" i="4" s="1"/>
  <c r="J6" i="4"/>
  <c r="K6" i="4" s="1"/>
  <c r="F8" i="4"/>
  <c r="G8" i="4" s="1"/>
  <c r="L8" i="4" s="1"/>
  <c r="J8" i="4"/>
  <c r="K8" i="4" s="1"/>
  <c r="I8" i="4" l="1"/>
  <c r="I4" i="4"/>
  <c r="I6" i="4"/>
  <c r="I5" i="4"/>
  <c r="I3" i="4"/>
  <c r="J9" i="4"/>
  <c r="K9" i="4" s="1"/>
  <c r="J11" i="4"/>
  <c r="K11" i="4" s="1"/>
  <c r="J12" i="4"/>
  <c r="K12" i="4" s="1"/>
  <c r="J13" i="4"/>
  <c r="K13" i="4" s="1"/>
  <c r="J14" i="4"/>
  <c r="K14" i="4" s="1"/>
  <c r="J15" i="4"/>
  <c r="K15" i="4" s="1"/>
  <c r="J16" i="4"/>
  <c r="K16" i="4" s="1"/>
  <c r="J17" i="4"/>
  <c r="K17" i="4" s="1"/>
  <c r="K2" i="4"/>
  <c r="F17" i="4"/>
  <c r="G17" i="4" s="1"/>
  <c r="L17" i="4" s="1"/>
  <c r="F16" i="4"/>
  <c r="G16" i="4" s="1"/>
  <c r="L16" i="4" s="1"/>
  <c r="F15" i="4"/>
  <c r="G15" i="4" s="1"/>
  <c r="L15" i="4" s="1"/>
  <c r="F14" i="4"/>
  <c r="G14" i="4" s="1"/>
  <c r="L14" i="4" s="1"/>
  <c r="F13" i="4"/>
  <c r="G13" i="4" s="1"/>
  <c r="L13" i="4" s="1"/>
  <c r="F12" i="4"/>
  <c r="G12" i="4" s="1"/>
  <c r="L12" i="4" s="1"/>
  <c r="F11" i="4"/>
  <c r="G11" i="4" s="1"/>
  <c r="L11" i="4" s="1"/>
  <c r="F9" i="4"/>
  <c r="G9" i="4" s="1"/>
  <c r="L9" i="4" s="1"/>
  <c r="F2" i="4"/>
  <c r="G2" i="4" s="1"/>
  <c r="L2" i="4" s="1"/>
  <c r="I13" i="4" l="1"/>
  <c r="I9" i="4"/>
  <c r="I11" i="4"/>
  <c r="I15" i="4"/>
  <c r="I14" i="4"/>
  <c r="I12" i="4"/>
  <c r="I16" i="4"/>
  <c r="I17" i="4"/>
  <c r="H20" i="3"/>
  <c r="G25" i="3" s="1"/>
  <c r="I20" i="3"/>
  <c r="G26" i="3" s="1"/>
  <c r="I26" i="3" s="1"/>
  <c r="J20" i="3"/>
  <c r="K20" i="3"/>
  <c r="L20" i="3"/>
  <c r="M20" i="3"/>
  <c r="N20" i="3"/>
  <c r="O20" i="3"/>
  <c r="P20" i="3"/>
  <c r="Q20" i="3"/>
  <c r="R20" i="3"/>
  <c r="S20" i="3"/>
  <c r="T20" i="3"/>
  <c r="U20" i="3"/>
  <c r="H26" i="3" s="1"/>
  <c r="V20" i="3"/>
  <c r="H27" i="3" s="1"/>
  <c r="W20" i="3"/>
  <c r="H28" i="3" s="1"/>
  <c r="X20" i="3"/>
  <c r="Y20" i="3"/>
  <c r="Z20" i="3"/>
  <c r="AA20" i="3"/>
  <c r="AB20" i="3"/>
  <c r="AC20" i="3"/>
  <c r="AD20" i="3"/>
  <c r="G20" i="3"/>
  <c r="G24" i="3" s="1"/>
  <c r="G20" i="2"/>
  <c r="H25" i="3" l="1"/>
  <c r="I25" i="3" s="1"/>
  <c r="H24" i="3"/>
  <c r="I24" i="3"/>
  <c r="G28" i="3"/>
  <c r="I28" i="3" s="1"/>
  <c r="G27" i="3"/>
  <c r="I27" i="3" s="1"/>
  <c r="I2" i="4"/>
  <c r="M2" i="1"/>
  <c r="H5" i="2" l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4" i="2"/>
  <c r="H20" i="2" s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</calcChain>
</file>

<file path=xl/sharedStrings.xml><?xml version="1.0" encoding="utf-8"?>
<sst xmlns="http://schemas.openxmlformats.org/spreadsheetml/2006/main" count="638" uniqueCount="184">
  <si>
    <t>Variant</t>
  </si>
  <si>
    <t>Support 1</t>
  </si>
  <si>
    <t>Support 2</t>
  </si>
  <si>
    <t>Support 3</t>
  </si>
  <si>
    <t>Support 4</t>
  </si>
  <si>
    <t>Code court</t>
  </si>
  <si>
    <t>Nombre de chariots</t>
  </si>
  <si>
    <t>Supports PF / chariot</t>
  </si>
  <si>
    <t>Supports C / chariot</t>
  </si>
  <si>
    <t>Total PF</t>
  </si>
  <si>
    <t>Total C</t>
  </si>
  <si>
    <t>Total Supports</t>
  </si>
  <si>
    <t>V1</t>
  </si>
  <si>
    <t>Classique</t>
  </si>
  <si>
    <t>C-C-C-C</t>
  </si>
  <si>
    <t>V2</t>
  </si>
  <si>
    <t>Pied Fixe</t>
  </si>
  <si>
    <t>C-C-C-PF</t>
  </si>
  <si>
    <t>V3</t>
  </si>
  <si>
    <t>C-C-PF-C</t>
  </si>
  <si>
    <t>V4</t>
  </si>
  <si>
    <t>C-C-PF-PF</t>
  </si>
  <si>
    <t>V5</t>
  </si>
  <si>
    <t>C-PF-C-C</t>
  </si>
  <si>
    <t>V6</t>
  </si>
  <si>
    <t>C-PF-C-PF</t>
  </si>
  <si>
    <t>V7</t>
  </si>
  <si>
    <t>C-PF-PF-C</t>
  </si>
  <si>
    <t>V8</t>
  </si>
  <si>
    <t>C-PF-PF-PF</t>
  </si>
  <si>
    <t>V9</t>
  </si>
  <si>
    <t>PF-C-C-C</t>
  </si>
  <si>
    <t>V10</t>
  </si>
  <si>
    <t>PF-C-C-PF</t>
  </si>
  <si>
    <t>V11</t>
  </si>
  <si>
    <t>PF-C-PF-C</t>
  </si>
  <si>
    <t>V12</t>
  </si>
  <si>
    <t>PF-C-PF-PF</t>
  </si>
  <si>
    <t>V13</t>
  </si>
  <si>
    <t>PF-PF-C-C</t>
  </si>
  <si>
    <t>V14</t>
  </si>
  <si>
    <t>PF-PF-C-PF</t>
  </si>
  <si>
    <t>V15</t>
  </si>
  <si>
    <t>PF-PF-PF-C</t>
  </si>
  <si>
    <t>V16</t>
  </si>
  <si>
    <t>PF-PF-PF-PF</t>
  </si>
  <si>
    <t xml:space="preserve">Ecrou </t>
  </si>
  <si>
    <t xml:space="preserve">Barquette </t>
  </si>
  <si>
    <t xml:space="preserve">Cadre </t>
  </si>
  <si>
    <t>Total</t>
  </si>
  <si>
    <t>Bloqueur</t>
  </si>
  <si>
    <t>ECROUS</t>
  </si>
  <si>
    <t>FLASQUE 1</t>
  </si>
  <si>
    <t>FLASQUE 2</t>
  </si>
  <si>
    <t>FLASQUE 3</t>
  </si>
  <si>
    <t>FLASQUE 4</t>
  </si>
  <si>
    <t>ROUE1</t>
  </si>
  <si>
    <t>R</t>
  </si>
  <si>
    <t>G</t>
  </si>
  <si>
    <t>V</t>
  </si>
  <si>
    <t>D</t>
  </si>
  <si>
    <t>A</t>
  </si>
  <si>
    <t>ROUE2</t>
  </si>
  <si>
    <t>POSTE 3</t>
  </si>
  <si>
    <t>POSTE 4</t>
  </si>
  <si>
    <t>ROUE3</t>
  </si>
  <si>
    <t>ROUE 4</t>
  </si>
  <si>
    <t>Vis</t>
  </si>
  <si>
    <t>Référence(Total/poste1)</t>
  </si>
  <si>
    <t>Consommation_journalière</t>
  </si>
  <si>
    <t>Jours_de_couverture</t>
  </si>
  <si>
    <t>Variabilité</t>
  </si>
  <si>
    <t>Stock_de_sécurité</t>
  </si>
  <si>
    <t>Prix_unitaire (€)</t>
  </si>
  <si>
    <t>Stock_actuel</t>
  </si>
  <si>
    <t>Jours_couverts_par_stock_actuel</t>
  </si>
  <si>
    <t>Moyenne</t>
  </si>
  <si>
    <t>Ecrou</t>
  </si>
  <si>
    <t>Forte</t>
  </si>
  <si>
    <t>Barquette</t>
  </si>
  <si>
    <t>Faible</t>
  </si>
  <si>
    <t>Cadre</t>
  </si>
  <si>
    <t>Référence(Total/poste2)</t>
  </si>
  <si>
    <t xml:space="preserve">Bloqeur </t>
  </si>
  <si>
    <t>Ecrous</t>
  </si>
  <si>
    <t>Roue_R</t>
  </si>
  <si>
    <t>Roue_V</t>
  </si>
  <si>
    <t>Roue_G</t>
  </si>
  <si>
    <t>Flasque_D</t>
  </si>
  <si>
    <t>Flasque_A</t>
  </si>
  <si>
    <t>RR</t>
  </si>
  <si>
    <t>RV</t>
  </si>
  <si>
    <t>RG</t>
  </si>
  <si>
    <t>FD</t>
  </si>
  <si>
    <t>FA</t>
  </si>
  <si>
    <t>coef var</t>
  </si>
  <si>
    <t>TOTAL</t>
  </si>
  <si>
    <t xml:space="preserve">Besoin journalier </t>
  </si>
  <si>
    <t>Stock à commander</t>
  </si>
  <si>
    <t xml:space="preserve">quantité par bac </t>
  </si>
  <si>
    <t xml:space="preserve">type de contenant </t>
  </si>
  <si>
    <t>EC-0302</t>
  </si>
  <si>
    <t>BA-0303</t>
  </si>
  <si>
    <t>CA-0304</t>
  </si>
  <si>
    <t>ROR-0305</t>
  </si>
  <si>
    <t>ROV-0306</t>
  </si>
  <si>
    <t>TS-0301</t>
  </si>
  <si>
    <t>ROG-0307</t>
  </si>
  <si>
    <t>FLA-0309</t>
  </si>
  <si>
    <t>FLD-0308</t>
  </si>
  <si>
    <t>EC-0310</t>
  </si>
  <si>
    <t>VI-0311</t>
  </si>
  <si>
    <t>Code d'article</t>
  </si>
  <si>
    <t>BL-0312</t>
  </si>
  <si>
    <t>Nb de Bac par jour</t>
  </si>
  <si>
    <t>Jours_couverts_par_
stock_actuel</t>
  </si>
  <si>
    <t>Jours_de_
couverture</t>
  </si>
  <si>
    <t>Consommation_
journalière</t>
  </si>
  <si>
    <t>Valeur_stock_
sécurité (€)</t>
  </si>
  <si>
    <t xml:space="preserve"> Supports PF</t>
  </si>
  <si>
    <t xml:space="preserve"> Supports C</t>
  </si>
  <si>
    <t xml:space="preserve">Stock reel </t>
  </si>
  <si>
    <t xml:space="preserve">quantité  </t>
  </si>
  <si>
    <t>Nb de Bac par Poste</t>
  </si>
  <si>
    <t>Poste 4</t>
  </si>
  <si>
    <t xml:space="preserve">Poste3 </t>
  </si>
  <si>
    <t xml:space="preserve">poste3 </t>
  </si>
  <si>
    <t>Poste4</t>
  </si>
  <si>
    <t>vis</t>
  </si>
  <si>
    <t>ecrous</t>
  </si>
  <si>
    <t>VIS</t>
  </si>
  <si>
    <t>Poste2</t>
  </si>
  <si>
    <t>Poste1</t>
  </si>
  <si>
    <t>Supports  Mobile</t>
  </si>
  <si>
    <t>28L</t>
  </si>
  <si>
    <t>Dimension du  bac</t>
  </si>
  <si>
    <t>Nbre de Bac</t>
  </si>
  <si>
    <t>7.46L</t>
  </si>
  <si>
    <t>Bac a bec</t>
  </si>
  <si>
    <t xml:space="preserve">Poids en g/piece </t>
  </si>
  <si>
    <t>Poste3</t>
  </si>
  <si>
    <t>Composant</t>
  </si>
  <si>
    <t>PCB (Qté/Bac)</t>
  </si>
  <si>
    <t>Écrous</t>
  </si>
  <si>
    <t>Bloqueurs</t>
  </si>
  <si>
    <t>Conso. Jour</t>
  </si>
  <si>
    <t>Conso. / min</t>
  </si>
  <si>
    <t>Autonomie 1 Bac</t>
  </si>
  <si>
    <t>Autonomie Rail (5 Bacs)</t>
  </si>
  <si>
    <t>Bacs Totaux / Jour</t>
  </si>
  <si>
    <t>Supports PF (Fixes)</t>
  </si>
  <si>
    <t>7 min</t>
  </si>
  <si>
    <t>35 min</t>
  </si>
  <si>
    <t>Supports C (Classiques)</t>
  </si>
  <si>
    <t>7 min 30s</t>
  </si>
  <si>
    <t>37 min</t>
  </si>
  <si>
    <t>Cadres (Châssis)</t>
  </si>
  <si>
    <t>20 min</t>
  </si>
  <si>
    <t>Barquettes</t>
  </si>
  <si>
    <t>Non concerné</t>
  </si>
  <si>
    <t>62 min</t>
  </si>
  <si>
    <t>&gt; 5 heures</t>
  </si>
  <si>
    <t>1h 50 min</t>
  </si>
  <si>
    <t>&gt; 8 heures</t>
  </si>
  <si>
    <t>4h 30 min</t>
  </si>
  <si>
    <t>&gt; 1 jour</t>
  </si>
  <si>
    <t>2.1</t>
  </si>
  <si>
    <t>1.9</t>
  </si>
  <si>
    <t>Conso/min</t>
  </si>
  <si>
    <t>1.8</t>
  </si>
  <si>
    <t>3.7</t>
  </si>
  <si>
    <t xml:space="preserve">Non concerné </t>
  </si>
  <si>
    <t>Poids/bac en kg</t>
  </si>
  <si>
    <t>7.2</t>
  </si>
  <si>
    <t>Autonomie par 1 bac (en minute)</t>
  </si>
  <si>
    <t>2.3</t>
  </si>
  <si>
    <t>1.7</t>
  </si>
  <si>
    <t>Autonomie par rayonnage (en minute)</t>
  </si>
  <si>
    <t>Référence(total/jour)</t>
  </si>
  <si>
    <t>Roue(R//V//G)</t>
  </si>
  <si>
    <t>Flasque(D_A)</t>
  </si>
  <si>
    <t>quantité / Bac</t>
  </si>
  <si>
    <t>Poids / Bac</t>
  </si>
  <si>
    <t>Poids/Bac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</si>
</sst>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4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/>
    </xf>
    <xf numFmtId="0" fontId="0" fillId="10" borderId="0" xfId="0" applyFill="1"/>
    <xf numFmtId="0" fontId="0" fillId="11" borderId="0" xfId="0" applyFill="1"/>
    <xf numFmtId="0" fontId="0" fillId="0" borderId="1" xfId="0" applyBorder="1" applyAlignment="1">
      <alignment vertical="center"/>
    </xf>
    <xf numFmtId="0" fontId="0" fillId="7" borderId="0" xfId="0" applyFill="1"/>
    <xf numFmtId="0" fontId="0" fillId="8" borderId="0" xfId="0" applyFill="1"/>
    <xf numFmtId="0" fontId="0" fillId="0" borderId="8" xfId="0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9" borderId="3" xfId="0" applyFont="1" applyFill="1" applyBorder="1" applyAlignment="1">
      <alignment vertical="center"/>
    </xf>
    <xf numFmtId="0" fontId="1" fillId="9" borderId="4" xfId="0" applyFont="1" applyFill="1" applyBorder="1" applyAlignment="1">
      <alignment vertical="center"/>
    </xf>
    <xf numFmtId="0" fontId="0" fillId="9" borderId="8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vertical="center"/>
    </xf>
    <xf numFmtId="0" fontId="1" fillId="7" borderId="4" xfId="0" applyFont="1" applyFill="1" applyBorder="1" applyAlignment="1">
      <alignment vertical="center"/>
    </xf>
    <xf numFmtId="0" fontId="0" fillId="7" borderId="8" xfId="0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0" fillId="11" borderId="0" xfId="0" applyFill="1" applyAlignment="1">
      <alignment vertical="center"/>
    </xf>
    <xf numFmtId="0" fontId="0" fillId="11" borderId="0" xfId="0" applyFill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1" fillId="10" borderId="8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vertical="center"/>
    </xf>
    <xf numFmtId="0" fontId="4" fillId="0" borderId="9" xfId="0" applyFont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workbookViewId="0">
      <selection activeCell="K24" sqref="K24"/>
    </sheetView>
  </sheetViews>
  <sheetFormatPr baseColWidth="10" defaultRowHeight="14.4" x14ac:dyDescent="0.3"/>
  <sheetData>
    <row r="1" spans="1:16" ht="28.8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46</v>
      </c>
      <c r="N1" s="8" t="s">
        <v>47</v>
      </c>
      <c r="O1" s="9" t="s">
        <v>48</v>
      </c>
      <c r="P1" s="7"/>
    </row>
    <row r="2" spans="1:16" x14ac:dyDescent="0.3">
      <c r="A2" s="1" t="s">
        <v>12</v>
      </c>
      <c r="B2" s="1" t="s">
        <v>13</v>
      </c>
      <c r="C2" s="1" t="s">
        <v>13</v>
      </c>
      <c r="D2" s="1" t="s">
        <v>13</v>
      </c>
      <c r="E2" s="1" t="s">
        <v>13</v>
      </c>
      <c r="F2" s="1" t="s">
        <v>14</v>
      </c>
      <c r="G2" s="1">
        <v>28</v>
      </c>
      <c r="H2" s="1">
        <v>0</v>
      </c>
      <c r="I2" s="1">
        <v>4</v>
      </c>
      <c r="J2" s="1">
        <v>0</v>
      </c>
      <c r="K2" s="1">
        <v>112</v>
      </c>
      <c r="L2" s="1">
        <v>112</v>
      </c>
      <c r="M2" s="2">
        <f>L2*4</f>
        <v>448</v>
      </c>
      <c r="N2" s="1">
        <v>28</v>
      </c>
      <c r="O2" s="1">
        <v>28</v>
      </c>
      <c r="P2" s="7"/>
    </row>
    <row r="3" spans="1:16" x14ac:dyDescent="0.3">
      <c r="A3" s="1" t="s">
        <v>15</v>
      </c>
      <c r="B3" s="1" t="s">
        <v>13</v>
      </c>
      <c r="C3" s="1" t="s">
        <v>13</v>
      </c>
      <c r="D3" s="1" t="s">
        <v>13</v>
      </c>
      <c r="E3" s="1" t="s">
        <v>16</v>
      </c>
      <c r="F3" s="1" t="s">
        <v>17</v>
      </c>
      <c r="G3" s="1">
        <v>21</v>
      </c>
      <c r="H3" s="1">
        <v>1</v>
      </c>
      <c r="I3" s="1">
        <v>3</v>
      </c>
      <c r="J3" s="1">
        <v>21</v>
      </c>
      <c r="K3" s="1">
        <v>63</v>
      </c>
      <c r="L3" s="1">
        <v>84</v>
      </c>
      <c r="M3" s="2">
        <f t="shared" ref="M3:M17" si="0">L3*4</f>
        <v>336</v>
      </c>
      <c r="N3" s="1">
        <v>21</v>
      </c>
      <c r="O3" s="1">
        <v>21</v>
      </c>
      <c r="P3" s="7"/>
    </row>
    <row r="4" spans="1:16" x14ac:dyDescent="0.3">
      <c r="A4" s="1" t="s">
        <v>18</v>
      </c>
      <c r="B4" s="1" t="s">
        <v>13</v>
      </c>
      <c r="C4" s="1" t="s">
        <v>13</v>
      </c>
      <c r="D4" s="1" t="s">
        <v>16</v>
      </c>
      <c r="E4" s="1" t="s">
        <v>13</v>
      </c>
      <c r="F4" s="1" t="s">
        <v>19</v>
      </c>
      <c r="G4" s="1">
        <v>26</v>
      </c>
      <c r="H4" s="1">
        <v>1</v>
      </c>
      <c r="I4" s="1">
        <v>3</v>
      </c>
      <c r="J4" s="1">
        <v>26</v>
      </c>
      <c r="K4" s="1">
        <v>78</v>
      </c>
      <c r="L4" s="1">
        <v>104</v>
      </c>
      <c r="M4" s="2">
        <f t="shared" si="0"/>
        <v>416</v>
      </c>
      <c r="N4" s="1">
        <v>26</v>
      </c>
      <c r="O4" s="1">
        <v>26</v>
      </c>
      <c r="P4" s="7"/>
    </row>
    <row r="5" spans="1:16" x14ac:dyDescent="0.3">
      <c r="A5" s="1" t="s">
        <v>20</v>
      </c>
      <c r="B5" s="1" t="s">
        <v>13</v>
      </c>
      <c r="C5" s="1" t="s">
        <v>13</v>
      </c>
      <c r="D5" s="1" t="s">
        <v>16</v>
      </c>
      <c r="E5" s="1" t="s">
        <v>16</v>
      </c>
      <c r="F5" s="1" t="s">
        <v>21</v>
      </c>
      <c r="G5" s="1">
        <v>25</v>
      </c>
      <c r="H5" s="1">
        <v>2</v>
      </c>
      <c r="I5" s="1">
        <v>2</v>
      </c>
      <c r="J5" s="1">
        <v>50</v>
      </c>
      <c r="K5" s="1">
        <v>50</v>
      </c>
      <c r="L5" s="1">
        <v>100</v>
      </c>
      <c r="M5" s="2">
        <f t="shared" si="0"/>
        <v>400</v>
      </c>
      <c r="N5" s="1">
        <v>25</v>
      </c>
      <c r="O5" s="1">
        <v>25</v>
      </c>
      <c r="P5" s="7"/>
    </row>
    <row r="6" spans="1:16" x14ac:dyDescent="0.3">
      <c r="A6" s="1" t="s">
        <v>22</v>
      </c>
      <c r="B6" s="1" t="s">
        <v>13</v>
      </c>
      <c r="C6" s="1" t="s">
        <v>16</v>
      </c>
      <c r="D6" s="1" t="s">
        <v>13</v>
      </c>
      <c r="E6" s="1" t="s">
        <v>13</v>
      </c>
      <c r="F6" s="1" t="s">
        <v>23</v>
      </c>
      <c r="G6" s="1">
        <v>27</v>
      </c>
      <c r="H6" s="1">
        <v>1</v>
      </c>
      <c r="I6" s="1">
        <v>3</v>
      </c>
      <c r="J6" s="1">
        <v>27</v>
      </c>
      <c r="K6" s="1">
        <v>81</v>
      </c>
      <c r="L6" s="1">
        <v>108</v>
      </c>
      <c r="M6" s="2">
        <f t="shared" si="0"/>
        <v>432</v>
      </c>
      <c r="N6" s="1">
        <v>27</v>
      </c>
      <c r="O6" s="1">
        <v>27</v>
      </c>
      <c r="P6" s="7"/>
    </row>
    <row r="7" spans="1:16" x14ac:dyDescent="0.3">
      <c r="A7" s="1" t="s">
        <v>24</v>
      </c>
      <c r="B7" s="1" t="s">
        <v>13</v>
      </c>
      <c r="C7" s="1" t="s">
        <v>16</v>
      </c>
      <c r="D7" s="1" t="s">
        <v>13</v>
      </c>
      <c r="E7" s="1" t="s">
        <v>16</v>
      </c>
      <c r="F7" s="1" t="s">
        <v>25</v>
      </c>
      <c r="G7" s="1">
        <v>27</v>
      </c>
      <c r="H7" s="1">
        <v>2</v>
      </c>
      <c r="I7" s="1">
        <v>2</v>
      </c>
      <c r="J7" s="1">
        <v>54</v>
      </c>
      <c r="K7" s="1">
        <v>54</v>
      </c>
      <c r="L7" s="1">
        <v>108</v>
      </c>
      <c r="M7" s="2">
        <f t="shared" si="0"/>
        <v>432</v>
      </c>
      <c r="N7" s="1">
        <v>27</v>
      </c>
      <c r="O7" s="1">
        <v>27</v>
      </c>
      <c r="P7" s="7"/>
    </row>
    <row r="8" spans="1:16" x14ac:dyDescent="0.3">
      <c r="A8" s="1" t="s">
        <v>26</v>
      </c>
      <c r="B8" s="1" t="s">
        <v>13</v>
      </c>
      <c r="C8" s="1" t="s">
        <v>16</v>
      </c>
      <c r="D8" s="1" t="s">
        <v>16</v>
      </c>
      <c r="E8" s="1" t="s">
        <v>13</v>
      </c>
      <c r="F8" s="1" t="s">
        <v>27</v>
      </c>
      <c r="G8" s="1">
        <v>35</v>
      </c>
      <c r="H8" s="1">
        <v>2</v>
      </c>
      <c r="I8" s="1">
        <v>2</v>
      </c>
      <c r="J8" s="1">
        <v>70</v>
      </c>
      <c r="K8" s="1">
        <v>70</v>
      </c>
      <c r="L8" s="1">
        <v>140</v>
      </c>
      <c r="M8" s="2">
        <f t="shared" si="0"/>
        <v>560</v>
      </c>
      <c r="N8" s="1">
        <v>35</v>
      </c>
      <c r="O8" s="1">
        <v>35</v>
      </c>
      <c r="P8" s="7"/>
    </row>
    <row r="9" spans="1:16" x14ac:dyDescent="0.3">
      <c r="A9" s="1" t="s">
        <v>28</v>
      </c>
      <c r="B9" s="1" t="s">
        <v>13</v>
      </c>
      <c r="C9" s="1" t="s">
        <v>16</v>
      </c>
      <c r="D9" s="1" t="s">
        <v>16</v>
      </c>
      <c r="E9" s="1" t="s">
        <v>16</v>
      </c>
      <c r="F9" s="1" t="s">
        <v>29</v>
      </c>
      <c r="G9" s="1">
        <v>28</v>
      </c>
      <c r="H9" s="1">
        <v>3</v>
      </c>
      <c r="I9" s="1">
        <v>1</v>
      </c>
      <c r="J9" s="1">
        <v>84</v>
      </c>
      <c r="K9" s="1">
        <v>28</v>
      </c>
      <c r="L9" s="1">
        <v>112</v>
      </c>
      <c r="M9" s="2">
        <f t="shared" si="0"/>
        <v>448</v>
      </c>
      <c r="N9" s="1">
        <v>28</v>
      </c>
      <c r="O9" s="1">
        <v>28</v>
      </c>
      <c r="P9" s="7"/>
    </row>
    <row r="10" spans="1:16" x14ac:dyDescent="0.3">
      <c r="A10" s="1" t="s">
        <v>30</v>
      </c>
      <c r="B10" s="1" t="s">
        <v>16</v>
      </c>
      <c r="C10" s="1" t="s">
        <v>13</v>
      </c>
      <c r="D10" s="1" t="s">
        <v>13</v>
      </c>
      <c r="E10" s="1" t="s">
        <v>13</v>
      </c>
      <c r="F10" s="1" t="s">
        <v>31</v>
      </c>
      <c r="G10" s="1">
        <v>23</v>
      </c>
      <c r="H10" s="1">
        <v>1</v>
      </c>
      <c r="I10" s="1">
        <v>3</v>
      </c>
      <c r="J10" s="1">
        <v>23</v>
      </c>
      <c r="K10" s="1">
        <v>69</v>
      </c>
      <c r="L10" s="1">
        <v>92</v>
      </c>
      <c r="M10" s="2">
        <f t="shared" si="0"/>
        <v>368</v>
      </c>
      <c r="N10" s="1">
        <v>23</v>
      </c>
      <c r="O10" s="1">
        <v>23</v>
      </c>
      <c r="P10" s="7"/>
    </row>
    <row r="11" spans="1:16" x14ac:dyDescent="0.3">
      <c r="A11" s="1" t="s">
        <v>32</v>
      </c>
      <c r="B11" s="1" t="s">
        <v>16</v>
      </c>
      <c r="C11" s="1" t="s">
        <v>13</v>
      </c>
      <c r="D11" s="1" t="s">
        <v>13</v>
      </c>
      <c r="E11" s="1" t="s">
        <v>16</v>
      </c>
      <c r="F11" s="1" t="s">
        <v>33</v>
      </c>
      <c r="G11" s="1">
        <v>34</v>
      </c>
      <c r="H11" s="1">
        <v>2</v>
      </c>
      <c r="I11" s="1">
        <v>2</v>
      </c>
      <c r="J11" s="1">
        <v>68</v>
      </c>
      <c r="K11" s="1">
        <v>68</v>
      </c>
      <c r="L11" s="1">
        <v>136</v>
      </c>
      <c r="M11" s="2">
        <f t="shared" si="0"/>
        <v>544</v>
      </c>
      <c r="N11" s="1">
        <v>34</v>
      </c>
      <c r="O11" s="1">
        <v>34</v>
      </c>
      <c r="P11" s="7"/>
    </row>
    <row r="12" spans="1:16" x14ac:dyDescent="0.3">
      <c r="A12" s="1" t="s">
        <v>34</v>
      </c>
      <c r="B12" s="1" t="s">
        <v>16</v>
      </c>
      <c r="C12" s="1" t="s">
        <v>13</v>
      </c>
      <c r="D12" s="1" t="s">
        <v>16</v>
      </c>
      <c r="E12" s="1" t="s">
        <v>13</v>
      </c>
      <c r="F12" s="1" t="s">
        <v>35</v>
      </c>
      <c r="G12" s="1">
        <v>26</v>
      </c>
      <c r="H12" s="1">
        <v>2</v>
      </c>
      <c r="I12" s="1">
        <v>2</v>
      </c>
      <c r="J12" s="1">
        <v>52</v>
      </c>
      <c r="K12" s="1">
        <v>52</v>
      </c>
      <c r="L12" s="1">
        <v>104</v>
      </c>
      <c r="M12" s="2">
        <f t="shared" si="0"/>
        <v>416</v>
      </c>
      <c r="N12" s="1">
        <v>26</v>
      </c>
      <c r="O12" s="1">
        <v>26</v>
      </c>
      <c r="P12" s="7"/>
    </row>
    <row r="13" spans="1:16" x14ac:dyDescent="0.3">
      <c r="A13" s="1" t="s">
        <v>36</v>
      </c>
      <c r="B13" s="1" t="s">
        <v>16</v>
      </c>
      <c r="C13" s="1" t="s">
        <v>13</v>
      </c>
      <c r="D13" s="1" t="s">
        <v>16</v>
      </c>
      <c r="E13" s="1" t="s">
        <v>16</v>
      </c>
      <c r="F13" s="1" t="s">
        <v>37</v>
      </c>
      <c r="G13" s="1">
        <v>27</v>
      </c>
      <c r="H13" s="1">
        <v>3</v>
      </c>
      <c r="I13" s="1">
        <v>1</v>
      </c>
      <c r="J13" s="1">
        <v>81</v>
      </c>
      <c r="K13" s="1">
        <v>27</v>
      </c>
      <c r="L13" s="1">
        <v>108</v>
      </c>
      <c r="M13" s="2">
        <f t="shared" si="0"/>
        <v>432</v>
      </c>
      <c r="N13" s="1">
        <v>27</v>
      </c>
      <c r="O13" s="1">
        <v>27</v>
      </c>
      <c r="P13" s="7"/>
    </row>
    <row r="14" spans="1:16" x14ac:dyDescent="0.3">
      <c r="A14" s="1" t="s">
        <v>38</v>
      </c>
      <c r="B14" s="1" t="s">
        <v>16</v>
      </c>
      <c r="C14" s="1" t="s">
        <v>16</v>
      </c>
      <c r="D14" s="1" t="s">
        <v>13</v>
      </c>
      <c r="E14" s="1" t="s">
        <v>13</v>
      </c>
      <c r="F14" s="1" t="s">
        <v>39</v>
      </c>
      <c r="G14" s="1">
        <v>26</v>
      </c>
      <c r="H14" s="1">
        <v>2</v>
      </c>
      <c r="I14" s="1">
        <v>2</v>
      </c>
      <c r="J14" s="1">
        <v>52</v>
      </c>
      <c r="K14" s="1">
        <v>52</v>
      </c>
      <c r="L14" s="1">
        <v>104</v>
      </c>
      <c r="M14" s="2">
        <f t="shared" si="0"/>
        <v>416</v>
      </c>
      <c r="N14" s="1">
        <v>26</v>
      </c>
      <c r="O14" s="1">
        <v>26</v>
      </c>
      <c r="P14" s="7"/>
    </row>
    <row r="15" spans="1:16" x14ac:dyDescent="0.3">
      <c r="A15" s="1" t="s">
        <v>40</v>
      </c>
      <c r="B15" s="1" t="s">
        <v>16</v>
      </c>
      <c r="C15" s="1" t="s">
        <v>16</v>
      </c>
      <c r="D15" s="1" t="s">
        <v>13</v>
      </c>
      <c r="E15" s="1" t="s">
        <v>16</v>
      </c>
      <c r="F15" s="1" t="s">
        <v>41</v>
      </c>
      <c r="G15" s="1">
        <v>25</v>
      </c>
      <c r="H15" s="1">
        <v>3</v>
      </c>
      <c r="I15" s="1">
        <v>1</v>
      </c>
      <c r="J15" s="1">
        <v>75</v>
      </c>
      <c r="K15" s="1">
        <v>25</v>
      </c>
      <c r="L15" s="1">
        <v>100</v>
      </c>
      <c r="M15" s="2">
        <f t="shared" si="0"/>
        <v>400</v>
      </c>
      <c r="N15" s="1">
        <v>25</v>
      </c>
      <c r="O15" s="1">
        <v>25</v>
      </c>
      <c r="P15" s="7"/>
    </row>
    <row r="16" spans="1:16" x14ac:dyDescent="0.3">
      <c r="A16" s="1" t="s">
        <v>42</v>
      </c>
      <c r="B16" s="1" t="s">
        <v>16</v>
      </c>
      <c r="C16" s="1" t="s">
        <v>16</v>
      </c>
      <c r="D16" s="1" t="s">
        <v>16</v>
      </c>
      <c r="E16" s="1" t="s">
        <v>13</v>
      </c>
      <c r="F16" s="1" t="s">
        <v>43</v>
      </c>
      <c r="G16" s="1">
        <v>25</v>
      </c>
      <c r="H16" s="1">
        <v>3</v>
      </c>
      <c r="I16" s="1">
        <v>1</v>
      </c>
      <c r="J16" s="1">
        <v>75</v>
      </c>
      <c r="K16" s="1">
        <v>25</v>
      </c>
      <c r="L16" s="1">
        <v>100</v>
      </c>
      <c r="M16" s="2">
        <f t="shared" si="0"/>
        <v>400</v>
      </c>
      <c r="N16" s="1">
        <v>25</v>
      </c>
      <c r="O16" s="1">
        <v>25</v>
      </c>
      <c r="P16" s="7"/>
    </row>
    <row r="17" spans="1:20" x14ac:dyDescent="0.3">
      <c r="A17" s="1" t="s">
        <v>44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45</v>
      </c>
      <c r="G17" s="1">
        <v>37</v>
      </c>
      <c r="H17" s="1">
        <v>4</v>
      </c>
      <c r="I17" s="1">
        <v>0</v>
      </c>
      <c r="J17" s="1">
        <v>148</v>
      </c>
      <c r="K17" s="1">
        <v>0</v>
      </c>
      <c r="L17" s="1">
        <v>148</v>
      </c>
      <c r="M17" s="2">
        <f t="shared" si="0"/>
        <v>592</v>
      </c>
      <c r="N17" s="1">
        <v>37</v>
      </c>
      <c r="O17" s="1">
        <v>37</v>
      </c>
      <c r="P17" s="7"/>
    </row>
    <row r="18" spans="1:20" x14ac:dyDescent="0.3">
      <c r="A18" s="55" t="s">
        <v>49</v>
      </c>
      <c r="B18" s="56"/>
      <c r="C18" s="56"/>
      <c r="D18" s="56"/>
      <c r="E18" s="56"/>
      <c r="F18" s="57"/>
      <c r="G18" s="10">
        <v>440</v>
      </c>
      <c r="H18" s="11"/>
      <c r="I18" s="11"/>
      <c r="J18" s="10">
        <v>906</v>
      </c>
      <c r="K18" s="10">
        <v>854</v>
      </c>
      <c r="L18" s="10">
        <v>1760</v>
      </c>
      <c r="M18" s="12">
        <v>7040</v>
      </c>
      <c r="N18" s="10">
        <v>440</v>
      </c>
      <c r="O18" s="10">
        <v>440</v>
      </c>
      <c r="P18" s="7"/>
    </row>
    <row r="19" spans="1:20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 spans="1:20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 spans="1:20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 spans="1:20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</sheetData>
  <mergeCells count="1">
    <mergeCell ref="A18:F1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H20"/>
  <sheetViews>
    <sheetView topLeftCell="A2" workbookViewId="0">
      <selection activeCell="C28" sqref="C28"/>
    </sheetView>
  </sheetViews>
  <sheetFormatPr baseColWidth="10" defaultRowHeight="14.4" x14ac:dyDescent="0.3"/>
  <sheetData>
    <row r="3" spans="1:8" x14ac:dyDescent="0.3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50</v>
      </c>
      <c r="H3" s="8" t="s">
        <v>51</v>
      </c>
    </row>
    <row r="4" spans="1:8" x14ac:dyDescent="0.3">
      <c r="A4" s="1" t="s">
        <v>12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14</v>
      </c>
      <c r="G4" s="2">
        <v>57</v>
      </c>
      <c r="H4" s="2">
        <f>G4*2</f>
        <v>114</v>
      </c>
    </row>
    <row r="5" spans="1:8" x14ac:dyDescent="0.3">
      <c r="A5" s="1" t="s">
        <v>15</v>
      </c>
      <c r="B5" s="1" t="s">
        <v>13</v>
      </c>
      <c r="C5" s="1" t="s">
        <v>13</v>
      </c>
      <c r="D5" s="1" t="s">
        <v>13</v>
      </c>
      <c r="E5" s="1" t="s">
        <v>16</v>
      </c>
      <c r="F5" s="1" t="s">
        <v>17</v>
      </c>
      <c r="G5" s="2">
        <v>50</v>
      </c>
      <c r="H5" s="2">
        <f t="shared" ref="H5:H19" si="0">G5*2</f>
        <v>100</v>
      </c>
    </row>
    <row r="6" spans="1:8" x14ac:dyDescent="0.3">
      <c r="A6" s="1" t="s">
        <v>18</v>
      </c>
      <c r="B6" s="1" t="s">
        <v>13</v>
      </c>
      <c r="C6" s="1" t="s">
        <v>13</v>
      </c>
      <c r="D6" s="1" t="s">
        <v>16</v>
      </c>
      <c r="E6" s="1" t="s">
        <v>13</v>
      </c>
      <c r="F6" s="1" t="s">
        <v>19</v>
      </c>
      <c r="G6" s="2">
        <v>45</v>
      </c>
      <c r="H6" s="2">
        <f t="shared" si="0"/>
        <v>90</v>
      </c>
    </row>
    <row r="7" spans="1:8" x14ac:dyDescent="0.3">
      <c r="A7" s="1" t="s">
        <v>20</v>
      </c>
      <c r="B7" s="1" t="s">
        <v>13</v>
      </c>
      <c r="C7" s="1" t="s">
        <v>13</v>
      </c>
      <c r="D7" s="1" t="s">
        <v>16</v>
      </c>
      <c r="E7" s="1" t="s">
        <v>16</v>
      </c>
      <c r="F7" s="1" t="s">
        <v>21</v>
      </c>
      <c r="G7" s="2">
        <v>50</v>
      </c>
      <c r="H7" s="2">
        <f t="shared" si="0"/>
        <v>100</v>
      </c>
    </row>
    <row r="8" spans="1:8" x14ac:dyDescent="0.3">
      <c r="A8" s="1" t="s">
        <v>22</v>
      </c>
      <c r="B8" s="1" t="s">
        <v>13</v>
      </c>
      <c r="C8" s="1" t="s">
        <v>16</v>
      </c>
      <c r="D8" s="1" t="s">
        <v>13</v>
      </c>
      <c r="E8" s="1" t="s">
        <v>13</v>
      </c>
      <c r="F8" s="1" t="s">
        <v>23</v>
      </c>
      <c r="G8" s="2">
        <v>57</v>
      </c>
      <c r="H8" s="2">
        <f t="shared" si="0"/>
        <v>114</v>
      </c>
    </row>
    <row r="9" spans="1:8" x14ac:dyDescent="0.3">
      <c r="A9" s="1" t="s">
        <v>24</v>
      </c>
      <c r="B9" s="1" t="s">
        <v>13</v>
      </c>
      <c r="C9" s="1" t="s">
        <v>16</v>
      </c>
      <c r="D9" s="1" t="s">
        <v>13</v>
      </c>
      <c r="E9" s="1" t="s">
        <v>16</v>
      </c>
      <c r="F9" s="1" t="s">
        <v>25</v>
      </c>
      <c r="G9" s="2">
        <v>54</v>
      </c>
      <c r="H9" s="2">
        <f t="shared" si="0"/>
        <v>108</v>
      </c>
    </row>
    <row r="10" spans="1:8" x14ac:dyDescent="0.3">
      <c r="A10" s="1" t="s">
        <v>26</v>
      </c>
      <c r="B10" s="1" t="s">
        <v>13</v>
      </c>
      <c r="C10" s="1" t="s">
        <v>16</v>
      </c>
      <c r="D10" s="1" t="s">
        <v>16</v>
      </c>
      <c r="E10" s="1" t="s">
        <v>13</v>
      </c>
      <c r="F10" s="1" t="s">
        <v>27</v>
      </c>
      <c r="G10" s="2">
        <v>72</v>
      </c>
      <c r="H10" s="2">
        <f t="shared" si="0"/>
        <v>144</v>
      </c>
    </row>
    <row r="11" spans="1:8" x14ac:dyDescent="0.3">
      <c r="A11" s="1" t="s">
        <v>28</v>
      </c>
      <c r="B11" s="1" t="s">
        <v>13</v>
      </c>
      <c r="C11" s="1" t="s">
        <v>16</v>
      </c>
      <c r="D11" s="1" t="s">
        <v>16</v>
      </c>
      <c r="E11" s="1" t="s">
        <v>16</v>
      </c>
      <c r="F11" s="1" t="s">
        <v>29</v>
      </c>
      <c r="G11" s="2">
        <v>52</v>
      </c>
      <c r="H11" s="2">
        <f t="shared" si="0"/>
        <v>104</v>
      </c>
    </row>
    <row r="12" spans="1:8" x14ac:dyDescent="0.3">
      <c r="A12" s="1" t="s">
        <v>30</v>
      </c>
      <c r="B12" s="1" t="s">
        <v>16</v>
      </c>
      <c r="C12" s="1" t="s">
        <v>13</v>
      </c>
      <c r="D12" s="1" t="s">
        <v>13</v>
      </c>
      <c r="E12" s="1" t="s">
        <v>13</v>
      </c>
      <c r="F12" s="1" t="s">
        <v>31</v>
      </c>
      <c r="G12" s="2">
        <v>47</v>
      </c>
      <c r="H12" s="2">
        <f t="shared" si="0"/>
        <v>94</v>
      </c>
    </row>
    <row r="13" spans="1:8" x14ac:dyDescent="0.3">
      <c r="A13" s="1" t="s">
        <v>32</v>
      </c>
      <c r="B13" s="1" t="s">
        <v>16</v>
      </c>
      <c r="C13" s="1" t="s">
        <v>13</v>
      </c>
      <c r="D13" s="1" t="s">
        <v>13</v>
      </c>
      <c r="E13" s="1" t="s">
        <v>16</v>
      </c>
      <c r="F13" s="1" t="s">
        <v>33</v>
      </c>
      <c r="G13" s="2">
        <v>69</v>
      </c>
      <c r="H13" s="2">
        <f t="shared" si="0"/>
        <v>138</v>
      </c>
    </row>
    <row r="14" spans="1:8" x14ac:dyDescent="0.3">
      <c r="A14" s="1" t="s">
        <v>34</v>
      </c>
      <c r="B14" s="1" t="s">
        <v>16</v>
      </c>
      <c r="C14" s="1" t="s">
        <v>13</v>
      </c>
      <c r="D14" s="1" t="s">
        <v>16</v>
      </c>
      <c r="E14" s="1" t="s">
        <v>13</v>
      </c>
      <c r="F14" s="1" t="s">
        <v>35</v>
      </c>
      <c r="G14" s="2">
        <v>53</v>
      </c>
      <c r="H14" s="2">
        <f t="shared" si="0"/>
        <v>106</v>
      </c>
    </row>
    <row r="15" spans="1:8" x14ac:dyDescent="0.3">
      <c r="A15" s="1" t="s">
        <v>36</v>
      </c>
      <c r="B15" s="1" t="s">
        <v>16</v>
      </c>
      <c r="C15" s="1" t="s">
        <v>13</v>
      </c>
      <c r="D15" s="1" t="s">
        <v>16</v>
      </c>
      <c r="E15" s="1" t="s">
        <v>16</v>
      </c>
      <c r="F15" s="1" t="s">
        <v>37</v>
      </c>
      <c r="G15" s="2">
        <v>50</v>
      </c>
      <c r="H15" s="2">
        <f t="shared" si="0"/>
        <v>100</v>
      </c>
    </row>
    <row r="16" spans="1:8" x14ac:dyDescent="0.3">
      <c r="A16" s="1" t="s">
        <v>38</v>
      </c>
      <c r="B16" s="1" t="s">
        <v>16</v>
      </c>
      <c r="C16" s="1" t="s">
        <v>16</v>
      </c>
      <c r="D16" s="1" t="s">
        <v>13</v>
      </c>
      <c r="E16" s="1" t="s">
        <v>13</v>
      </c>
      <c r="F16" s="1" t="s">
        <v>39</v>
      </c>
      <c r="G16" s="2">
        <v>45</v>
      </c>
      <c r="H16" s="2">
        <f t="shared" si="0"/>
        <v>90</v>
      </c>
    </row>
    <row r="17" spans="1:8" x14ac:dyDescent="0.3">
      <c r="A17" s="1" t="s">
        <v>40</v>
      </c>
      <c r="B17" s="1" t="s">
        <v>16</v>
      </c>
      <c r="C17" s="1" t="s">
        <v>16</v>
      </c>
      <c r="D17" s="1" t="s">
        <v>13</v>
      </c>
      <c r="E17" s="1" t="s">
        <v>16</v>
      </c>
      <c r="F17" s="1" t="s">
        <v>41</v>
      </c>
      <c r="G17" s="2">
        <v>57</v>
      </c>
      <c r="H17" s="2">
        <f t="shared" si="0"/>
        <v>114</v>
      </c>
    </row>
    <row r="18" spans="1:8" x14ac:dyDescent="0.3">
      <c r="A18" s="1" t="s">
        <v>42</v>
      </c>
      <c r="B18" s="1" t="s">
        <v>16</v>
      </c>
      <c r="C18" s="1" t="s">
        <v>16</v>
      </c>
      <c r="D18" s="1" t="s">
        <v>16</v>
      </c>
      <c r="E18" s="1" t="s">
        <v>13</v>
      </c>
      <c r="F18" s="1" t="s">
        <v>43</v>
      </c>
      <c r="G18" s="2">
        <v>45</v>
      </c>
      <c r="H18" s="2">
        <f t="shared" si="0"/>
        <v>90</v>
      </c>
    </row>
    <row r="19" spans="1:8" x14ac:dyDescent="0.3">
      <c r="A19" s="1" t="s">
        <v>44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45</v>
      </c>
      <c r="G19" s="2">
        <v>76</v>
      </c>
      <c r="H19" s="2">
        <f t="shared" si="0"/>
        <v>152</v>
      </c>
    </row>
    <row r="20" spans="1:8" x14ac:dyDescent="0.3">
      <c r="A20" s="58" t="s">
        <v>96</v>
      </c>
      <c r="B20" s="58"/>
      <c r="C20" s="58"/>
      <c r="D20" s="58"/>
      <c r="E20" s="58"/>
      <c r="F20" s="58"/>
      <c r="G20" s="12">
        <f>SUM(G4:G18)</f>
        <v>803</v>
      </c>
      <c r="H20" s="12">
        <f>SUM(H4:H18)</f>
        <v>1606</v>
      </c>
    </row>
  </sheetData>
  <mergeCells count="1">
    <mergeCell ref="A20:F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0"/>
  <sheetViews>
    <sheetView topLeftCell="B2" zoomScale="70" zoomScaleNormal="70" workbookViewId="0">
      <selection activeCell="K32" sqref="K32"/>
    </sheetView>
  </sheetViews>
  <sheetFormatPr baseColWidth="10" defaultRowHeight="14.4" x14ac:dyDescent="0.3"/>
  <cols>
    <col min="16" max="18" width="12.44140625" customWidth="1"/>
  </cols>
  <sheetData>
    <row r="1" spans="1:30" x14ac:dyDescent="0.3">
      <c r="A1" s="7"/>
      <c r="B1" s="7"/>
      <c r="C1" s="7"/>
      <c r="D1" s="7"/>
      <c r="E1" s="7"/>
      <c r="F1" s="7"/>
      <c r="G1" s="65" t="s">
        <v>63</v>
      </c>
      <c r="H1" s="65"/>
      <c r="I1" s="65"/>
      <c r="J1" s="65"/>
      <c r="K1" s="65"/>
      <c r="L1" s="65"/>
      <c r="M1" s="65"/>
      <c r="N1" s="65"/>
      <c r="O1" s="65"/>
      <c r="P1" s="65"/>
      <c r="Q1" s="3"/>
      <c r="R1" s="13"/>
      <c r="S1" s="62" t="s">
        <v>64</v>
      </c>
      <c r="T1" s="63"/>
      <c r="U1" s="63"/>
      <c r="V1" s="63"/>
      <c r="W1" s="63"/>
      <c r="X1" s="63"/>
      <c r="Y1" s="63"/>
      <c r="Z1" s="63"/>
      <c r="AA1" s="63"/>
      <c r="AB1" s="63"/>
      <c r="AC1" s="63"/>
      <c r="AD1" s="4"/>
    </row>
    <row r="2" spans="1:30" x14ac:dyDescent="0.3">
      <c r="A2" s="7"/>
      <c r="B2" s="7"/>
      <c r="C2" s="7"/>
      <c r="D2" s="7"/>
      <c r="E2" s="7"/>
      <c r="F2" s="7"/>
      <c r="G2" s="64" t="s">
        <v>56</v>
      </c>
      <c r="H2" s="64"/>
      <c r="I2" s="64"/>
      <c r="J2" s="64" t="s">
        <v>52</v>
      </c>
      <c r="K2" s="64"/>
      <c r="L2" s="64" t="s">
        <v>62</v>
      </c>
      <c r="M2" s="64"/>
      <c r="N2" s="64"/>
      <c r="O2" s="64" t="s">
        <v>53</v>
      </c>
      <c r="P2" s="64"/>
      <c r="Q2" s="60"/>
      <c r="R2" s="61"/>
      <c r="S2" s="64" t="s">
        <v>65</v>
      </c>
      <c r="T2" s="64"/>
      <c r="U2" s="64"/>
      <c r="V2" s="64" t="s">
        <v>54</v>
      </c>
      <c r="W2" s="64"/>
      <c r="X2" s="64" t="s">
        <v>66</v>
      </c>
      <c r="Y2" s="64"/>
      <c r="Z2" s="64"/>
      <c r="AA2" s="64" t="s">
        <v>55</v>
      </c>
      <c r="AB2" s="64"/>
      <c r="AC2" s="60"/>
      <c r="AD2" s="61"/>
    </row>
    <row r="3" spans="1:30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57</v>
      </c>
      <c r="H3" s="5" t="s">
        <v>59</v>
      </c>
      <c r="I3" s="5" t="s">
        <v>58</v>
      </c>
      <c r="J3" s="5" t="s">
        <v>60</v>
      </c>
      <c r="K3" s="5" t="s">
        <v>61</v>
      </c>
      <c r="L3" s="5" t="s">
        <v>57</v>
      </c>
      <c r="M3" s="5" t="s">
        <v>59</v>
      </c>
      <c r="N3" s="5" t="s">
        <v>58</v>
      </c>
      <c r="O3" s="5" t="s">
        <v>60</v>
      </c>
      <c r="P3" s="5" t="s">
        <v>61</v>
      </c>
      <c r="Q3" s="5" t="s">
        <v>67</v>
      </c>
      <c r="R3" s="5" t="s">
        <v>51</v>
      </c>
      <c r="S3" s="5" t="s">
        <v>57</v>
      </c>
      <c r="T3" s="5" t="s">
        <v>59</v>
      </c>
      <c r="U3" s="5" t="s">
        <v>58</v>
      </c>
      <c r="V3" s="5" t="s">
        <v>60</v>
      </c>
      <c r="W3" s="5" t="s">
        <v>61</v>
      </c>
      <c r="X3" s="5" t="s">
        <v>57</v>
      </c>
      <c r="Y3" s="5" t="s">
        <v>59</v>
      </c>
      <c r="Z3" s="5" t="s">
        <v>58</v>
      </c>
      <c r="AA3" s="5" t="s">
        <v>60</v>
      </c>
      <c r="AB3" s="5" t="s">
        <v>61</v>
      </c>
      <c r="AC3" s="5" t="s">
        <v>67</v>
      </c>
      <c r="AD3" s="5" t="s">
        <v>51</v>
      </c>
    </row>
    <row r="4" spans="1:30" x14ac:dyDescent="0.3">
      <c r="A4" s="1" t="s">
        <v>12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14</v>
      </c>
      <c r="G4" s="2">
        <v>7</v>
      </c>
      <c r="H4" s="2">
        <v>7</v>
      </c>
      <c r="I4" s="2">
        <v>14</v>
      </c>
      <c r="J4" s="2">
        <v>28</v>
      </c>
      <c r="K4" s="2">
        <v>28</v>
      </c>
      <c r="L4" s="2">
        <v>6</v>
      </c>
      <c r="M4" s="2">
        <v>12</v>
      </c>
      <c r="N4" s="2">
        <v>10</v>
      </c>
      <c r="O4" s="2">
        <v>22</v>
      </c>
      <c r="P4" s="2">
        <v>34</v>
      </c>
      <c r="Q4" s="2">
        <v>56</v>
      </c>
      <c r="R4" s="2">
        <v>56</v>
      </c>
      <c r="S4" s="2">
        <v>10</v>
      </c>
      <c r="T4" s="2">
        <v>7</v>
      </c>
      <c r="U4" s="2">
        <v>11</v>
      </c>
      <c r="V4" s="2">
        <v>24</v>
      </c>
      <c r="W4" s="2">
        <v>32</v>
      </c>
      <c r="X4" s="2">
        <v>8</v>
      </c>
      <c r="Y4" s="2">
        <v>11</v>
      </c>
      <c r="Z4" s="2">
        <v>9</v>
      </c>
      <c r="AA4" s="2">
        <v>26</v>
      </c>
      <c r="AB4" s="2">
        <v>32</v>
      </c>
      <c r="AC4" s="2">
        <v>56</v>
      </c>
      <c r="AD4" s="2">
        <v>56</v>
      </c>
    </row>
    <row r="5" spans="1:30" x14ac:dyDescent="0.3">
      <c r="A5" s="1" t="s">
        <v>15</v>
      </c>
      <c r="B5" s="1" t="s">
        <v>13</v>
      </c>
      <c r="C5" s="1" t="s">
        <v>13</v>
      </c>
      <c r="D5" s="1" t="s">
        <v>13</v>
      </c>
      <c r="E5" s="1" t="s">
        <v>16</v>
      </c>
      <c r="F5" s="1" t="s">
        <v>17</v>
      </c>
      <c r="G5" s="2">
        <v>5</v>
      </c>
      <c r="H5" s="2">
        <v>7</v>
      </c>
      <c r="I5" s="2">
        <v>8</v>
      </c>
      <c r="J5" s="2">
        <v>19</v>
      </c>
      <c r="K5" s="2">
        <v>21</v>
      </c>
      <c r="L5" s="2">
        <v>6</v>
      </c>
      <c r="M5" s="2">
        <v>8</v>
      </c>
      <c r="N5" s="2">
        <v>6</v>
      </c>
      <c r="O5" s="2">
        <v>14</v>
      </c>
      <c r="P5" s="2">
        <v>26</v>
      </c>
      <c r="Q5" s="2">
        <v>40</v>
      </c>
      <c r="R5" s="2">
        <v>40</v>
      </c>
      <c r="S5" s="2">
        <v>11</v>
      </c>
      <c r="T5" s="2">
        <v>4</v>
      </c>
      <c r="U5" s="2">
        <v>5</v>
      </c>
      <c r="V5" s="2">
        <v>22</v>
      </c>
      <c r="W5" s="2">
        <v>18</v>
      </c>
      <c r="X5" s="2">
        <v>11</v>
      </c>
      <c r="Y5" s="2">
        <v>4</v>
      </c>
      <c r="Z5" s="2">
        <v>5</v>
      </c>
      <c r="AA5" s="2">
        <v>21</v>
      </c>
      <c r="AB5" s="2">
        <v>19</v>
      </c>
      <c r="AC5" s="2">
        <v>40</v>
      </c>
      <c r="AD5" s="2">
        <v>40</v>
      </c>
    </row>
    <row r="6" spans="1:30" x14ac:dyDescent="0.3">
      <c r="A6" s="1" t="s">
        <v>18</v>
      </c>
      <c r="B6" s="1" t="s">
        <v>13</v>
      </c>
      <c r="C6" s="1" t="s">
        <v>13</v>
      </c>
      <c r="D6" s="1" t="s">
        <v>16</v>
      </c>
      <c r="E6" s="1" t="s">
        <v>13</v>
      </c>
      <c r="F6" s="1" t="s">
        <v>19</v>
      </c>
      <c r="G6" s="2">
        <v>5</v>
      </c>
      <c r="H6" s="2">
        <v>12</v>
      </c>
      <c r="I6" s="2">
        <v>9</v>
      </c>
      <c r="J6" s="2">
        <v>26</v>
      </c>
      <c r="K6" s="2">
        <v>26</v>
      </c>
      <c r="L6" s="2">
        <v>9</v>
      </c>
      <c r="M6" s="2">
        <v>9</v>
      </c>
      <c r="N6" s="2">
        <v>8</v>
      </c>
      <c r="O6" s="2">
        <v>29</v>
      </c>
      <c r="P6" s="2">
        <v>23</v>
      </c>
      <c r="Q6" s="2">
        <v>52</v>
      </c>
      <c r="R6" s="2">
        <v>52</v>
      </c>
      <c r="S6" s="2">
        <v>3</v>
      </c>
      <c r="T6" s="2">
        <v>16</v>
      </c>
      <c r="U6" s="2">
        <v>7</v>
      </c>
      <c r="V6" s="2">
        <v>25</v>
      </c>
      <c r="W6" s="2">
        <v>27</v>
      </c>
      <c r="X6" s="2">
        <v>10</v>
      </c>
      <c r="Y6" s="2">
        <v>8</v>
      </c>
      <c r="Z6" s="2">
        <v>8</v>
      </c>
      <c r="AA6" s="2">
        <v>26</v>
      </c>
      <c r="AB6" s="2">
        <v>26</v>
      </c>
      <c r="AC6" s="2">
        <v>52</v>
      </c>
      <c r="AD6" s="2">
        <v>52</v>
      </c>
    </row>
    <row r="7" spans="1:30" x14ac:dyDescent="0.3">
      <c r="A7" s="1" t="s">
        <v>20</v>
      </c>
      <c r="B7" s="1" t="s">
        <v>13</v>
      </c>
      <c r="C7" s="1" t="s">
        <v>13</v>
      </c>
      <c r="D7" s="1" t="s">
        <v>16</v>
      </c>
      <c r="E7" s="1" t="s">
        <v>16</v>
      </c>
      <c r="F7" s="1" t="s">
        <v>21</v>
      </c>
      <c r="G7" s="2">
        <v>13</v>
      </c>
      <c r="H7" s="2">
        <v>6</v>
      </c>
      <c r="I7" s="2">
        <v>6</v>
      </c>
      <c r="J7" s="2">
        <v>26</v>
      </c>
      <c r="K7" s="2">
        <v>24</v>
      </c>
      <c r="L7" s="2">
        <v>8</v>
      </c>
      <c r="M7" s="2">
        <v>7</v>
      </c>
      <c r="N7" s="2">
        <v>10</v>
      </c>
      <c r="O7" s="2">
        <v>24</v>
      </c>
      <c r="P7" s="2">
        <v>26</v>
      </c>
      <c r="Q7" s="2">
        <v>50</v>
      </c>
      <c r="R7" s="2">
        <v>50</v>
      </c>
      <c r="S7" s="2">
        <v>8</v>
      </c>
      <c r="T7" s="2">
        <v>9</v>
      </c>
      <c r="U7" s="2">
        <v>9</v>
      </c>
      <c r="V7" s="2">
        <v>32</v>
      </c>
      <c r="W7" s="2">
        <v>18</v>
      </c>
      <c r="X7" s="2">
        <v>7</v>
      </c>
      <c r="Y7" s="2">
        <v>11</v>
      </c>
      <c r="Z7" s="2">
        <v>6</v>
      </c>
      <c r="AA7" s="2">
        <v>28</v>
      </c>
      <c r="AB7" s="2">
        <v>22</v>
      </c>
      <c r="AC7" s="2">
        <v>50</v>
      </c>
      <c r="AD7" s="2">
        <v>50</v>
      </c>
    </row>
    <row r="8" spans="1:30" x14ac:dyDescent="0.3">
      <c r="A8" s="1" t="s">
        <v>22</v>
      </c>
      <c r="B8" s="1" t="s">
        <v>13</v>
      </c>
      <c r="C8" s="1" t="s">
        <v>16</v>
      </c>
      <c r="D8" s="1" t="s">
        <v>13</v>
      </c>
      <c r="E8" s="1" t="s">
        <v>13</v>
      </c>
      <c r="F8" s="1" t="s">
        <v>23</v>
      </c>
      <c r="G8" s="2">
        <v>5</v>
      </c>
      <c r="H8" s="2">
        <v>12</v>
      </c>
      <c r="I8" s="2">
        <v>10</v>
      </c>
      <c r="J8" s="2">
        <v>25</v>
      </c>
      <c r="K8" s="2">
        <v>29</v>
      </c>
      <c r="L8" s="2">
        <v>12</v>
      </c>
      <c r="M8" s="2">
        <v>4</v>
      </c>
      <c r="N8" s="2">
        <v>11</v>
      </c>
      <c r="O8" s="2">
        <v>31</v>
      </c>
      <c r="P8" s="2">
        <v>23</v>
      </c>
      <c r="Q8" s="2">
        <v>54</v>
      </c>
      <c r="R8" s="2">
        <v>54</v>
      </c>
      <c r="S8" s="2">
        <v>10</v>
      </c>
      <c r="T8" s="2">
        <v>9</v>
      </c>
      <c r="U8" s="2">
        <v>8</v>
      </c>
      <c r="V8" s="2">
        <v>35</v>
      </c>
      <c r="W8" s="2">
        <v>19</v>
      </c>
      <c r="X8" s="2">
        <v>5</v>
      </c>
      <c r="Y8" s="2">
        <v>9</v>
      </c>
      <c r="Z8" s="2">
        <v>13</v>
      </c>
      <c r="AA8" s="2">
        <v>28</v>
      </c>
      <c r="AB8" s="2">
        <v>26</v>
      </c>
      <c r="AC8" s="2">
        <v>54</v>
      </c>
      <c r="AD8" s="2">
        <v>54</v>
      </c>
    </row>
    <row r="9" spans="1:30" x14ac:dyDescent="0.3">
      <c r="A9" s="1" t="s">
        <v>24</v>
      </c>
      <c r="B9" s="1" t="s">
        <v>13</v>
      </c>
      <c r="C9" s="1" t="s">
        <v>16</v>
      </c>
      <c r="D9" s="1" t="s">
        <v>13</v>
      </c>
      <c r="E9" s="1" t="s">
        <v>16</v>
      </c>
      <c r="F9" s="1" t="s">
        <v>25</v>
      </c>
      <c r="G9" s="2">
        <v>8</v>
      </c>
      <c r="H9" s="2">
        <v>14</v>
      </c>
      <c r="I9" s="2">
        <v>5</v>
      </c>
      <c r="J9" s="2">
        <v>28</v>
      </c>
      <c r="K9" s="2">
        <v>26</v>
      </c>
      <c r="L9" s="2">
        <v>8</v>
      </c>
      <c r="M9" s="2">
        <v>8</v>
      </c>
      <c r="N9" s="2">
        <v>11</v>
      </c>
      <c r="O9" s="2">
        <v>26</v>
      </c>
      <c r="P9" s="2">
        <v>28</v>
      </c>
      <c r="Q9" s="2">
        <v>54</v>
      </c>
      <c r="R9" s="2">
        <v>54</v>
      </c>
      <c r="S9" s="2">
        <v>6</v>
      </c>
      <c r="T9" s="2">
        <v>15</v>
      </c>
      <c r="U9" s="2">
        <v>6</v>
      </c>
      <c r="V9" s="2">
        <v>22</v>
      </c>
      <c r="W9" s="2">
        <v>32</v>
      </c>
      <c r="X9" s="2">
        <v>8</v>
      </c>
      <c r="Y9" s="2">
        <v>7</v>
      </c>
      <c r="Z9" s="2">
        <v>12</v>
      </c>
      <c r="AA9" s="2">
        <v>28</v>
      </c>
      <c r="AB9" s="2">
        <v>26</v>
      </c>
      <c r="AC9" s="2">
        <v>54</v>
      </c>
      <c r="AD9" s="2">
        <v>54</v>
      </c>
    </row>
    <row r="10" spans="1:30" x14ac:dyDescent="0.3">
      <c r="A10" s="1" t="s">
        <v>26</v>
      </c>
      <c r="B10" s="1" t="s">
        <v>13</v>
      </c>
      <c r="C10" s="1" t="s">
        <v>16</v>
      </c>
      <c r="D10" s="1" t="s">
        <v>16</v>
      </c>
      <c r="E10" s="1" t="s">
        <v>13</v>
      </c>
      <c r="F10" s="1" t="s">
        <v>27</v>
      </c>
      <c r="G10" s="2">
        <v>11</v>
      </c>
      <c r="H10" s="2">
        <v>13</v>
      </c>
      <c r="I10" s="2">
        <v>11</v>
      </c>
      <c r="J10" s="2">
        <v>30</v>
      </c>
      <c r="K10" s="2">
        <v>40</v>
      </c>
      <c r="L10" s="2">
        <v>16</v>
      </c>
      <c r="M10" s="2">
        <v>6</v>
      </c>
      <c r="N10" s="2">
        <v>13</v>
      </c>
      <c r="O10" s="2">
        <v>32</v>
      </c>
      <c r="P10" s="2">
        <v>38</v>
      </c>
      <c r="Q10" s="2">
        <v>70</v>
      </c>
      <c r="R10" s="2">
        <v>70</v>
      </c>
      <c r="S10" s="2">
        <v>16</v>
      </c>
      <c r="T10" s="6">
        <v>9</v>
      </c>
      <c r="U10" s="2">
        <v>10</v>
      </c>
      <c r="V10" s="2">
        <v>37</v>
      </c>
      <c r="W10" s="2">
        <v>33</v>
      </c>
      <c r="X10" s="2">
        <v>12</v>
      </c>
      <c r="Y10" s="2">
        <v>13</v>
      </c>
      <c r="Z10" s="2">
        <v>10</v>
      </c>
      <c r="AA10" s="2">
        <v>33</v>
      </c>
      <c r="AB10" s="2">
        <v>37</v>
      </c>
      <c r="AC10" s="2">
        <v>70</v>
      </c>
      <c r="AD10" s="2">
        <v>70</v>
      </c>
    </row>
    <row r="11" spans="1:30" x14ac:dyDescent="0.3">
      <c r="A11" s="1" t="s">
        <v>28</v>
      </c>
      <c r="B11" s="1" t="s">
        <v>13</v>
      </c>
      <c r="C11" s="1" t="s">
        <v>16</v>
      </c>
      <c r="D11" s="1" t="s">
        <v>16</v>
      </c>
      <c r="E11" s="1" t="s">
        <v>16</v>
      </c>
      <c r="F11" s="1" t="s">
        <v>29</v>
      </c>
      <c r="G11" s="2">
        <v>9</v>
      </c>
      <c r="H11" s="2">
        <v>7</v>
      </c>
      <c r="I11" s="2">
        <v>12</v>
      </c>
      <c r="J11" s="2">
        <v>26</v>
      </c>
      <c r="K11" s="2">
        <v>30</v>
      </c>
      <c r="L11" s="2">
        <v>9</v>
      </c>
      <c r="M11" s="2">
        <v>6</v>
      </c>
      <c r="N11" s="2">
        <v>13</v>
      </c>
      <c r="O11" s="2">
        <v>25</v>
      </c>
      <c r="P11" s="2">
        <v>31</v>
      </c>
      <c r="Q11" s="2">
        <v>56</v>
      </c>
      <c r="R11" s="2">
        <v>56</v>
      </c>
      <c r="S11" s="2">
        <v>9</v>
      </c>
      <c r="T11" s="2">
        <v>6</v>
      </c>
      <c r="U11" s="2">
        <v>13</v>
      </c>
      <c r="V11" s="2">
        <v>25</v>
      </c>
      <c r="W11" s="2">
        <v>31</v>
      </c>
      <c r="X11" s="2">
        <v>5</v>
      </c>
      <c r="Y11" s="2">
        <v>13</v>
      </c>
      <c r="Z11" s="2">
        <v>10</v>
      </c>
      <c r="AA11" s="2">
        <v>23</v>
      </c>
      <c r="AB11" s="2">
        <v>33</v>
      </c>
      <c r="AC11" s="2">
        <v>56</v>
      </c>
      <c r="AD11" s="2">
        <v>56</v>
      </c>
    </row>
    <row r="12" spans="1:30" x14ac:dyDescent="0.3">
      <c r="A12" s="1" t="s">
        <v>30</v>
      </c>
      <c r="B12" s="1" t="s">
        <v>16</v>
      </c>
      <c r="C12" s="1" t="s">
        <v>13</v>
      </c>
      <c r="D12" s="1" t="s">
        <v>13</v>
      </c>
      <c r="E12" s="1" t="s">
        <v>13</v>
      </c>
      <c r="F12" s="1" t="s">
        <v>31</v>
      </c>
      <c r="G12" s="2">
        <v>4</v>
      </c>
      <c r="H12" s="2">
        <v>8</v>
      </c>
      <c r="I12" s="2">
        <v>11</v>
      </c>
      <c r="J12" s="2">
        <v>19</v>
      </c>
      <c r="K12" s="2">
        <v>27</v>
      </c>
      <c r="L12" s="2">
        <v>9</v>
      </c>
      <c r="M12" s="2">
        <v>6</v>
      </c>
      <c r="N12" s="2">
        <v>8</v>
      </c>
      <c r="O12" s="2">
        <v>29</v>
      </c>
      <c r="P12" s="2">
        <v>17</v>
      </c>
      <c r="Q12" s="2">
        <v>46</v>
      </c>
      <c r="R12" s="2">
        <v>46</v>
      </c>
      <c r="S12" s="2">
        <v>6</v>
      </c>
      <c r="T12" s="2">
        <v>10</v>
      </c>
      <c r="U12" s="2">
        <v>7</v>
      </c>
      <c r="V12" s="2">
        <v>24</v>
      </c>
      <c r="W12" s="2">
        <v>22</v>
      </c>
      <c r="X12" s="2">
        <v>10</v>
      </c>
      <c r="Y12" s="2">
        <v>6</v>
      </c>
      <c r="Z12" s="2">
        <v>7</v>
      </c>
      <c r="AA12" s="2">
        <v>22</v>
      </c>
      <c r="AB12" s="2">
        <v>24</v>
      </c>
      <c r="AC12" s="2">
        <v>46</v>
      </c>
      <c r="AD12" s="2">
        <v>46</v>
      </c>
    </row>
    <row r="13" spans="1:30" x14ac:dyDescent="0.3">
      <c r="A13" s="1" t="s">
        <v>32</v>
      </c>
      <c r="B13" s="1" t="s">
        <v>16</v>
      </c>
      <c r="C13" s="1" t="s">
        <v>13</v>
      </c>
      <c r="D13" s="1" t="s">
        <v>13</v>
      </c>
      <c r="E13" s="1" t="s">
        <v>16</v>
      </c>
      <c r="F13" s="1" t="s">
        <v>33</v>
      </c>
      <c r="G13" s="2">
        <v>6</v>
      </c>
      <c r="H13" s="2">
        <v>10</v>
      </c>
      <c r="I13" s="2">
        <v>17</v>
      </c>
      <c r="J13" s="2">
        <v>26</v>
      </c>
      <c r="K13" s="2">
        <v>32</v>
      </c>
      <c r="L13" s="2">
        <v>7</v>
      </c>
      <c r="M13" s="2">
        <v>13</v>
      </c>
      <c r="N13" s="2">
        <v>13</v>
      </c>
      <c r="O13" s="2">
        <v>26</v>
      </c>
      <c r="P13" s="2">
        <v>32</v>
      </c>
      <c r="Q13" s="2">
        <v>66</v>
      </c>
      <c r="R13" s="2">
        <v>66</v>
      </c>
      <c r="S13" s="2">
        <v>13</v>
      </c>
      <c r="T13" s="2">
        <v>11</v>
      </c>
      <c r="U13" s="2">
        <v>9</v>
      </c>
      <c r="V13" s="2">
        <v>26</v>
      </c>
      <c r="W13" s="2">
        <v>32</v>
      </c>
      <c r="X13" s="2">
        <v>12</v>
      </c>
      <c r="Y13" s="6">
        <v>11</v>
      </c>
      <c r="Z13" s="2">
        <v>10</v>
      </c>
      <c r="AA13" s="2">
        <v>24</v>
      </c>
      <c r="AB13" s="2">
        <v>34</v>
      </c>
      <c r="AC13" s="2">
        <v>66</v>
      </c>
      <c r="AD13" s="2">
        <v>66</v>
      </c>
    </row>
    <row r="14" spans="1:30" x14ac:dyDescent="0.3">
      <c r="A14" s="1" t="s">
        <v>34</v>
      </c>
      <c r="B14" s="1" t="s">
        <v>16</v>
      </c>
      <c r="C14" s="1" t="s">
        <v>13</v>
      </c>
      <c r="D14" s="1" t="s">
        <v>16</v>
      </c>
      <c r="E14" s="1" t="s">
        <v>13</v>
      </c>
      <c r="F14" s="1" t="s">
        <v>35</v>
      </c>
      <c r="G14" s="2">
        <v>5</v>
      </c>
      <c r="H14" s="2">
        <v>9</v>
      </c>
      <c r="I14" s="2">
        <v>11</v>
      </c>
      <c r="J14" s="2">
        <v>24</v>
      </c>
      <c r="K14" s="2">
        <v>28</v>
      </c>
      <c r="L14" s="2">
        <v>9</v>
      </c>
      <c r="M14" s="2">
        <v>8</v>
      </c>
      <c r="N14" s="2">
        <v>8</v>
      </c>
      <c r="O14" s="2">
        <v>27</v>
      </c>
      <c r="P14" s="2">
        <v>25</v>
      </c>
      <c r="Q14" s="2">
        <v>50</v>
      </c>
      <c r="R14" s="2">
        <v>50</v>
      </c>
      <c r="S14" s="2">
        <v>8</v>
      </c>
      <c r="T14" s="2">
        <v>9</v>
      </c>
      <c r="U14" s="2">
        <v>8</v>
      </c>
      <c r="V14" s="2">
        <v>25</v>
      </c>
      <c r="W14" s="2">
        <v>27</v>
      </c>
      <c r="X14" s="2">
        <v>8</v>
      </c>
      <c r="Y14" s="2">
        <v>8</v>
      </c>
      <c r="Z14" s="2">
        <v>9</v>
      </c>
      <c r="AA14" s="2">
        <v>25</v>
      </c>
      <c r="AB14" s="2">
        <v>27</v>
      </c>
      <c r="AC14" s="2">
        <v>50</v>
      </c>
      <c r="AD14" s="2">
        <v>50</v>
      </c>
    </row>
    <row r="15" spans="1:30" x14ac:dyDescent="0.3">
      <c r="A15" s="1" t="s">
        <v>36</v>
      </c>
      <c r="B15" s="1" t="s">
        <v>16</v>
      </c>
      <c r="C15" s="1" t="s">
        <v>13</v>
      </c>
      <c r="D15" s="1" t="s">
        <v>16</v>
      </c>
      <c r="E15" s="1" t="s">
        <v>16</v>
      </c>
      <c r="F15" s="1" t="s">
        <v>37</v>
      </c>
      <c r="G15" s="2">
        <v>8</v>
      </c>
      <c r="H15" s="2">
        <v>10</v>
      </c>
      <c r="I15" s="2">
        <v>8</v>
      </c>
      <c r="J15" s="2">
        <v>25</v>
      </c>
      <c r="K15" s="2">
        <v>27</v>
      </c>
      <c r="L15" s="2">
        <v>8</v>
      </c>
      <c r="M15" s="2">
        <v>10</v>
      </c>
      <c r="N15" s="2">
        <v>8</v>
      </c>
      <c r="O15" s="2">
        <v>25</v>
      </c>
      <c r="P15" s="2">
        <v>27</v>
      </c>
      <c r="Q15" s="2">
        <v>52</v>
      </c>
      <c r="R15" s="2">
        <v>52</v>
      </c>
      <c r="S15" s="2">
        <v>9</v>
      </c>
      <c r="T15" s="2">
        <v>9</v>
      </c>
      <c r="U15" s="2">
        <v>8</v>
      </c>
      <c r="V15" s="2">
        <v>24</v>
      </c>
      <c r="W15" s="2">
        <v>28</v>
      </c>
      <c r="X15" s="2">
        <v>9</v>
      </c>
      <c r="Y15" s="2">
        <v>9</v>
      </c>
      <c r="Z15" s="2">
        <v>8</v>
      </c>
      <c r="AA15" s="2">
        <v>26</v>
      </c>
      <c r="AB15" s="2">
        <v>26</v>
      </c>
      <c r="AC15" s="2">
        <v>52</v>
      </c>
      <c r="AD15" s="2">
        <v>52</v>
      </c>
    </row>
    <row r="16" spans="1:30" x14ac:dyDescent="0.3">
      <c r="A16" s="1" t="s">
        <v>38</v>
      </c>
      <c r="B16" s="1" t="s">
        <v>16</v>
      </c>
      <c r="C16" s="1" t="s">
        <v>16</v>
      </c>
      <c r="D16" s="1" t="s">
        <v>13</v>
      </c>
      <c r="E16" s="1" t="s">
        <v>13</v>
      </c>
      <c r="F16" s="1" t="s">
        <v>39</v>
      </c>
      <c r="G16" s="2">
        <v>8</v>
      </c>
      <c r="H16" s="2">
        <v>7</v>
      </c>
      <c r="I16" s="2">
        <v>10</v>
      </c>
      <c r="J16" s="2">
        <v>24</v>
      </c>
      <c r="K16" s="2">
        <v>26</v>
      </c>
      <c r="L16" s="2">
        <v>8</v>
      </c>
      <c r="M16" s="2">
        <v>8</v>
      </c>
      <c r="N16" s="2">
        <v>9</v>
      </c>
      <c r="O16" s="2">
        <v>24</v>
      </c>
      <c r="P16" s="2">
        <v>26</v>
      </c>
      <c r="Q16" s="2">
        <v>50</v>
      </c>
      <c r="R16" s="2">
        <v>50</v>
      </c>
      <c r="S16" s="2">
        <v>8</v>
      </c>
      <c r="T16" s="2">
        <v>8</v>
      </c>
      <c r="U16" s="2">
        <v>9</v>
      </c>
      <c r="V16" s="2">
        <v>32</v>
      </c>
      <c r="W16" s="2">
        <v>18</v>
      </c>
      <c r="X16" s="2">
        <v>9</v>
      </c>
      <c r="Y16" s="2">
        <v>8</v>
      </c>
      <c r="Z16" s="2">
        <v>8</v>
      </c>
      <c r="AA16" s="2">
        <v>28</v>
      </c>
      <c r="AB16" s="2">
        <v>22</v>
      </c>
      <c r="AC16" s="2">
        <v>50</v>
      </c>
      <c r="AD16" s="2">
        <v>50</v>
      </c>
    </row>
    <row r="17" spans="1:30" x14ac:dyDescent="0.3">
      <c r="A17" s="1" t="s">
        <v>40</v>
      </c>
      <c r="B17" s="1" t="s">
        <v>16</v>
      </c>
      <c r="C17" s="1" t="s">
        <v>16</v>
      </c>
      <c r="D17" s="1" t="s">
        <v>13</v>
      </c>
      <c r="E17" s="1" t="s">
        <v>16</v>
      </c>
      <c r="F17" s="1" t="s">
        <v>41</v>
      </c>
      <c r="G17" s="2">
        <v>11</v>
      </c>
      <c r="H17" s="2">
        <v>8</v>
      </c>
      <c r="I17" s="2">
        <v>6</v>
      </c>
      <c r="J17" s="2">
        <v>25</v>
      </c>
      <c r="K17" s="2">
        <v>25</v>
      </c>
      <c r="L17" s="2">
        <v>10</v>
      </c>
      <c r="M17" s="2">
        <v>7</v>
      </c>
      <c r="N17" s="2">
        <v>8</v>
      </c>
      <c r="O17" s="2">
        <v>30</v>
      </c>
      <c r="P17" s="2">
        <v>20</v>
      </c>
      <c r="Q17" s="2">
        <v>50</v>
      </c>
      <c r="R17" s="2">
        <v>50</v>
      </c>
      <c r="S17" s="2">
        <v>9</v>
      </c>
      <c r="T17" s="2">
        <v>8</v>
      </c>
      <c r="U17" s="2">
        <v>8</v>
      </c>
      <c r="V17" s="2">
        <v>24</v>
      </c>
      <c r="W17" s="2">
        <v>26</v>
      </c>
      <c r="X17" s="2">
        <v>10</v>
      </c>
      <c r="Y17" s="2">
        <v>8</v>
      </c>
      <c r="Z17" s="2">
        <v>7</v>
      </c>
      <c r="AA17" s="2">
        <v>25</v>
      </c>
      <c r="AB17" s="2">
        <v>25</v>
      </c>
      <c r="AC17" s="2">
        <v>50</v>
      </c>
      <c r="AD17" s="2">
        <v>50</v>
      </c>
    </row>
    <row r="18" spans="1:30" x14ac:dyDescent="0.3">
      <c r="A18" s="1" t="s">
        <v>42</v>
      </c>
      <c r="B18" s="1" t="s">
        <v>16</v>
      </c>
      <c r="C18" s="1" t="s">
        <v>16</v>
      </c>
      <c r="D18" s="1" t="s">
        <v>16</v>
      </c>
      <c r="E18" s="1" t="s">
        <v>13</v>
      </c>
      <c r="F18" s="1" t="s">
        <v>43</v>
      </c>
      <c r="G18" s="2">
        <v>10</v>
      </c>
      <c r="H18" s="2">
        <v>8</v>
      </c>
      <c r="I18" s="2">
        <v>7</v>
      </c>
      <c r="J18" s="2">
        <v>22</v>
      </c>
      <c r="K18" s="2">
        <v>28</v>
      </c>
      <c r="L18" s="2">
        <v>10</v>
      </c>
      <c r="M18" s="2">
        <v>7</v>
      </c>
      <c r="N18" s="2">
        <v>8</v>
      </c>
      <c r="O18" s="2">
        <v>25</v>
      </c>
      <c r="P18" s="2">
        <v>25</v>
      </c>
      <c r="Q18" s="2">
        <v>50</v>
      </c>
      <c r="R18" s="2">
        <v>50</v>
      </c>
      <c r="S18" s="2">
        <v>8</v>
      </c>
      <c r="T18" s="2">
        <v>9</v>
      </c>
      <c r="U18" s="2">
        <v>8</v>
      </c>
      <c r="V18" s="2">
        <v>26</v>
      </c>
      <c r="W18" s="2">
        <v>24</v>
      </c>
      <c r="X18" s="2">
        <v>8</v>
      </c>
      <c r="Y18" s="2">
        <v>9</v>
      </c>
      <c r="Z18" s="2">
        <v>8</v>
      </c>
      <c r="AA18" s="2">
        <v>26</v>
      </c>
      <c r="AB18" s="2">
        <v>24</v>
      </c>
      <c r="AC18" s="2">
        <v>50</v>
      </c>
      <c r="AD18" s="2">
        <v>50</v>
      </c>
    </row>
    <row r="19" spans="1:30" x14ac:dyDescent="0.3">
      <c r="A19" s="1" t="s">
        <v>44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45</v>
      </c>
      <c r="G19" s="2">
        <v>19</v>
      </c>
      <c r="H19" s="2">
        <v>9</v>
      </c>
      <c r="I19" s="2">
        <v>9</v>
      </c>
      <c r="J19" s="2">
        <v>37</v>
      </c>
      <c r="K19" s="2">
        <v>37</v>
      </c>
      <c r="L19" s="2">
        <v>18</v>
      </c>
      <c r="M19" s="2">
        <v>9</v>
      </c>
      <c r="N19" s="2">
        <v>10</v>
      </c>
      <c r="O19" s="2">
        <v>35</v>
      </c>
      <c r="P19" s="2">
        <v>39</v>
      </c>
      <c r="Q19" s="2">
        <v>74</v>
      </c>
      <c r="R19" s="2">
        <v>74</v>
      </c>
      <c r="S19" s="2">
        <v>18</v>
      </c>
      <c r="T19" s="2">
        <v>10</v>
      </c>
      <c r="U19" s="2">
        <v>9</v>
      </c>
      <c r="V19" s="2">
        <v>36</v>
      </c>
      <c r="W19" s="2">
        <v>38</v>
      </c>
      <c r="X19" s="2">
        <v>16</v>
      </c>
      <c r="Y19" s="2">
        <v>10</v>
      </c>
      <c r="Z19" s="2">
        <v>11</v>
      </c>
      <c r="AA19" s="2">
        <v>33</v>
      </c>
      <c r="AB19" s="2">
        <v>41</v>
      </c>
      <c r="AC19" s="2">
        <v>74</v>
      </c>
      <c r="AD19" s="2">
        <v>74</v>
      </c>
    </row>
    <row r="20" spans="1:30" x14ac:dyDescent="0.3">
      <c r="A20" s="59" t="s">
        <v>96</v>
      </c>
      <c r="B20" s="59"/>
      <c r="C20" s="59"/>
      <c r="D20" s="59"/>
      <c r="E20" s="59"/>
      <c r="F20" s="59"/>
      <c r="G20" s="16">
        <f>SUM(G4:G19)</f>
        <v>134</v>
      </c>
      <c r="H20" s="16">
        <f t="shared" ref="H20:AD20" si="0">SUM(H4:H19)</f>
        <v>147</v>
      </c>
      <c r="I20" s="16">
        <f t="shared" si="0"/>
        <v>154</v>
      </c>
      <c r="J20" s="16">
        <f t="shared" si="0"/>
        <v>410</v>
      </c>
      <c r="K20" s="16">
        <f t="shared" si="0"/>
        <v>454</v>
      </c>
      <c r="L20" s="16">
        <f t="shared" si="0"/>
        <v>153</v>
      </c>
      <c r="M20" s="16">
        <f t="shared" si="0"/>
        <v>128</v>
      </c>
      <c r="N20" s="16">
        <f t="shared" si="0"/>
        <v>154</v>
      </c>
      <c r="O20" s="16">
        <f t="shared" si="0"/>
        <v>424</v>
      </c>
      <c r="P20" s="16">
        <f t="shared" si="0"/>
        <v>440</v>
      </c>
      <c r="Q20" s="16">
        <f t="shared" si="0"/>
        <v>870</v>
      </c>
      <c r="R20" s="16">
        <f t="shared" si="0"/>
        <v>870</v>
      </c>
      <c r="S20" s="16">
        <f t="shared" si="0"/>
        <v>152</v>
      </c>
      <c r="T20" s="16">
        <f t="shared" si="0"/>
        <v>149</v>
      </c>
      <c r="U20" s="16">
        <f t="shared" si="0"/>
        <v>135</v>
      </c>
      <c r="V20" s="16">
        <f t="shared" si="0"/>
        <v>439</v>
      </c>
      <c r="W20" s="16">
        <f t="shared" si="0"/>
        <v>425</v>
      </c>
      <c r="X20" s="16">
        <f t="shared" si="0"/>
        <v>148</v>
      </c>
      <c r="Y20" s="16">
        <f t="shared" si="0"/>
        <v>145</v>
      </c>
      <c r="Z20" s="16">
        <f t="shared" si="0"/>
        <v>141</v>
      </c>
      <c r="AA20" s="16">
        <f t="shared" si="0"/>
        <v>422</v>
      </c>
      <c r="AB20" s="16">
        <f t="shared" si="0"/>
        <v>444</v>
      </c>
      <c r="AC20" s="16">
        <f t="shared" si="0"/>
        <v>870</v>
      </c>
      <c r="AD20" s="16">
        <f t="shared" si="0"/>
        <v>870</v>
      </c>
    </row>
    <row r="23" spans="1:30" x14ac:dyDescent="0.3">
      <c r="G23" t="s">
        <v>140</v>
      </c>
      <c r="H23" t="s">
        <v>127</v>
      </c>
    </row>
    <row r="24" spans="1:30" x14ac:dyDescent="0.3">
      <c r="F24" s="14" t="s">
        <v>90</v>
      </c>
      <c r="G24" s="15">
        <f>G20+L20</f>
        <v>287</v>
      </c>
      <c r="H24">
        <f>S20+X20</f>
        <v>300</v>
      </c>
      <c r="I24">
        <f>G24+H24</f>
        <v>587</v>
      </c>
    </row>
    <row r="25" spans="1:30" x14ac:dyDescent="0.3">
      <c r="F25" s="14" t="s">
        <v>91</v>
      </c>
      <c r="G25" s="15">
        <f>H20+M20</f>
        <v>275</v>
      </c>
      <c r="H25">
        <f>T20+Y20</f>
        <v>294</v>
      </c>
      <c r="I25">
        <f t="shared" ref="I25:I30" si="1">G25+H25</f>
        <v>569</v>
      </c>
    </row>
    <row r="26" spans="1:30" x14ac:dyDescent="0.3">
      <c r="F26" s="14" t="s">
        <v>92</v>
      </c>
      <c r="G26" s="15">
        <f>I20+N20</f>
        <v>308</v>
      </c>
      <c r="H26">
        <f>U20+Z20</f>
        <v>276</v>
      </c>
      <c r="I26">
        <f t="shared" si="1"/>
        <v>584</v>
      </c>
    </row>
    <row r="27" spans="1:30" x14ac:dyDescent="0.3">
      <c r="F27" s="14" t="s">
        <v>93</v>
      </c>
      <c r="G27" s="15">
        <f>J20+O20</f>
        <v>834</v>
      </c>
      <c r="H27">
        <f>V20+AA20</f>
        <v>861</v>
      </c>
      <c r="I27">
        <f t="shared" si="1"/>
        <v>1695</v>
      </c>
    </row>
    <row r="28" spans="1:30" x14ac:dyDescent="0.3">
      <c r="F28" s="14" t="s">
        <v>94</v>
      </c>
      <c r="G28" s="15">
        <f>K20+P20</f>
        <v>894</v>
      </c>
      <c r="H28">
        <f>W20+AB20</f>
        <v>869</v>
      </c>
      <c r="I28">
        <f t="shared" si="1"/>
        <v>1763</v>
      </c>
    </row>
    <row r="29" spans="1:30" x14ac:dyDescent="0.3">
      <c r="F29" s="19" t="s">
        <v>128</v>
      </c>
      <c r="G29">
        <v>870</v>
      </c>
      <c r="H29">
        <v>870</v>
      </c>
      <c r="I29">
        <f t="shared" si="1"/>
        <v>1740</v>
      </c>
    </row>
    <row r="30" spans="1:30" x14ac:dyDescent="0.3">
      <c r="F30" s="19" t="s">
        <v>129</v>
      </c>
      <c r="G30">
        <v>870</v>
      </c>
      <c r="H30">
        <v>870</v>
      </c>
      <c r="I30">
        <f t="shared" si="1"/>
        <v>1740</v>
      </c>
    </row>
  </sheetData>
  <mergeCells count="13">
    <mergeCell ref="A20:F20"/>
    <mergeCell ref="AC2:AD2"/>
    <mergeCell ref="S1:AC1"/>
    <mergeCell ref="O2:P2"/>
    <mergeCell ref="G1:P1"/>
    <mergeCell ref="S2:U2"/>
    <mergeCell ref="V2:W2"/>
    <mergeCell ref="X2:Z2"/>
    <mergeCell ref="AA2:AB2"/>
    <mergeCell ref="Q2:R2"/>
    <mergeCell ref="G2:I2"/>
    <mergeCell ref="J2:K2"/>
    <mergeCell ref="L2:N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5"/>
  <sheetViews>
    <sheetView workbookViewId="0">
      <selection activeCell="P14" sqref="P14"/>
    </sheetView>
  </sheetViews>
  <sheetFormatPr baseColWidth="10" defaultColWidth="9.21875" defaultRowHeight="14.4" x14ac:dyDescent="0.3"/>
  <cols>
    <col min="1" max="1" width="18.44140625" customWidth="1"/>
    <col min="2" max="2" width="9.77734375" customWidth="1"/>
    <col min="3" max="3" width="9.5546875" bestFit="1" customWidth="1"/>
    <col min="4" max="9" width="9.77734375" customWidth="1"/>
    <col min="10" max="11" width="9.77734375" hidden="1" customWidth="1"/>
    <col min="12" max="13" width="9.77734375" customWidth="1"/>
  </cols>
  <sheetData>
    <row r="1" spans="1:13" s="18" customFormat="1" ht="72" x14ac:dyDescent="0.3">
      <c r="A1" s="26" t="s">
        <v>68</v>
      </c>
      <c r="B1" s="8" t="s">
        <v>112</v>
      </c>
      <c r="C1" s="8" t="s">
        <v>117</v>
      </c>
      <c r="D1" s="8" t="s">
        <v>116</v>
      </c>
      <c r="E1" s="8" t="s">
        <v>71</v>
      </c>
      <c r="F1" s="8" t="s">
        <v>95</v>
      </c>
      <c r="G1" s="8" t="s">
        <v>72</v>
      </c>
      <c r="H1" s="8" t="s">
        <v>73</v>
      </c>
      <c r="I1" s="8" t="s">
        <v>118</v>
      </c>
      <c r="J1" s="8" t="s">
        <v>74</v>
      </c>
      <c r="K1" s="8" t="s">
        <v>115</v>
      </c>
      <c r="L1" s="8" t="s">
        <v>121</v>
      </c>
      <c r="M1" s="8" t="s">
        <v>99</v>
      </c>
    </row>
    <row r="2" spans="1:13" x14ac:dyDescent="0.3">
      <c r="A2" s="27" t="s">
        <v>119</v>
      </c>
      <c r="B2" s="28" t="s">
        <v>106</v>
      </c>
      <c r="C2" s="29">
        <v>906</v>
      </c>
      <c r="D2" s="29">
        <v>1</v>
      </c>
      <c r="E2" s="29" t="s">
        <v>76</v>
      </c>
      <c r="F2" s="29">
        <f>IF(E2="Faible",1,IF(E2="Moyenne",1.2,IF(E2="Forte",1.5,1)))</f>
        <v>1.2</v>
      </c>
      <c r="G2" s="29">
        <f>C2*D2*F2</f>
        <v>1087.2</v>
      </c>
      <c r="H2" s="29">
        <v>4</v>
      </c>
      <c r="I2" s="29">
        <f>G2*H2</f>
        <v>4348.8</v>
      </c>
      <c r="J2" s="29">
        <f>C2*1.5</f>
        <v>1359</v>
      </c>
      <c r="K2" s="29">
        <f>J2/C2</f>
        <v>1.5</v>
      </c>
      <c r="L2" s="29">
        <f>G2+C2</f>
        <v>1993.2</v>
      </c>
      <c r="M2" s="29">
        <v>15</v>
      </c>
    </row>
    <row r="3" spans="1:13" x14ac:dyDescent="0.3">
      <c r="A3" s="27" t="s">
        <v>120</v>
      </c>
      <c r="B3" s="28"/>
      <c r="C3" s="29">
        <v>845</v>
      </c>
      <c r="D3" s="29">
        <v>1</v>
      </c>
      <c r="E3" s="29" t="s">
        <v>76</v>
      </c>
      <c r="F3" s="29">
        <f>IF(E3="Faible",1,IF(E3="Moyenne",1.2,IF(E3="Forte",1.5,1)))</f>
        <v>1.2</v>
      </c>
      <c r="G3" s="29">
        <f t="shared" ref="G3:G6" si="0">C3*D3*F3</f>
        <v>1014</v>
      </c>
      <c r="H3" s="29">
        <v>4</v>
      </c>
      <c r="I3" s="29">
        <f>G3*H3</f>
        <v>4056</v>
      </c>
      <c r="J3" s="29">
        <f>C3*1.5</f>
        <v>1267.5</v>
      </c>
      <c r="K3" s="29">
        <v>1.5</v>
      </c>
      <c r="L3" s="29">
        <f t="shared" ref="L3:L6" si="1">G3+C3</f>
        <v>1859</v>
      </c>
      <c r="M3" s="29">
        <v>15</v>
      </c>
    </row>
    <row r="4" spans="1:13" x14ac:dyDescent="0.3">
      <c r="A4" s="27" t="s">
        <v>77</v>
      </c>
      <c r="B4" s="29" t="s">
        <v>101</v>
      </c>
      <c r="C4" s="29">
        <v>7040</v>
      </c>
      <c r="D4" s="29">
        <v>1</v>
      </c>
      <c r="E4" s="29" t="s">
        <v>78</v>
      </c>
      <c r="F4" s="29">
        <f t="shared" ref="F4:F25" si="2">IF(E4="Faible",1,IF(E4="Moyenne",1.2,IF(E4="Forte",1.5,1)))</f>
        <v>1.5</v>
      </c>
      <c r="G4" s="29">
        <f t="shared" si="0"/>
        <v>10560</v>
      </c>
      <c r="H4" s="29">
        <v>4</v>
      </c>
      <c r="I4" s="29">
        <f>G4*H4</f>
        <v>42240</v>
      </c>
      <c r="J4" s="29">
        <f t="shared" ref="J4:J25" si="3">C4*1.5</f>
        <v>10560</v>
      </c>
      <c r="K4" s="29">
        <f t="shared" ref="K4:K25" si="4">J4/C4</f>
        <v>1.5</v>
      </c>
      <c r="L4" s="29">
        <f t="shared" si="1"/>
        <v>17600</v>
      </c>
      <c r="M4" s="29">
        <v>1000</v>
      </c>
    </row>
    <row r="5" spans="1:13" x14ac:dyDescent="0.3">
      <c r="A5" s="27" t="s">
        <v>79</v>
      </c>
      <c r="B5" s="29" t="s">
        <v>102</v>
      </c>
      <c r="C5" s="29">
        <v>440</v>
      </c>
      <c r="D5" s="29">
        <v>1</v>
      </c>
      <c r="E5" s="29" t="s">
        <v>80</v>
      </c>
      <c r="F5" s="29">
        <f t="shared" si="2"/>
        <v>1</v>
      </c>
      <c r="G5" s="29">
        <f t="shared" si="0"/>
        <v>440</v>
      </c>
      <c r="H5" s="29">
        <v>4</v>
      </c>
      <c r="I5" s="29">
        <f t="shared" ref="I5:I25" si="5">G5*H5</f>
        <v>1760</v>
      </c>
      <c r="J5" s="29">
        <f t="shared" si="3"/>
        <v>660</v>
      </c>
      <c r="K5" s="29">
        <f t="shared" si="4"/>
        <v>1.5</v>
      </c>
      <c r="L5" s="29">
        <f t="shared" si="1"/>
        <v>880</v>
      </c>
      <c r="M5" s="29">
        <v>20</v>
      </c>
    </row>
    <row r="6" spans="1:13" x14ac:dyDescent="0.3">
      <c r="A6" s="27" t="s">
        <v>81</v>
      </c>
      <c r="B6" s="29" t="s">
        <v>103</v>
      </c>
      <c r="C6" s="29">
        <v>440</v>
      </c>
      <c r="D6" s="29">
        <v>1</v>
      </c>
      <c r="E6" s="29" t="s">
        <v>80</v>
      </c>
      <c r="F6" s="29">
        <f t="shared" si="2"/>
        <v>1</v>
      </c>
      <c r="G6" s="29">
        <f t="shared" si="0"/>
        <v>440</v>
      </c>
      <c r="H6" s="29">
        <v>4</v>
      </c>
      <c r="I6" s="29">
        <f t="shared" si="5"/>
        <v>1760</v>
      </c>
      <c r="J6" s="29">
        <f t="shared" si="3"/>
        <v>660</v>
      </c>
      <c r="K6" s="29">
        <f t="shared" si="4"/>
        <v>1.5</v>
      </c>
      <c r="L6" s="29">
        <f t="shared" si="1"/>
        <v>880</v>
      </c>
      <c r="M6" s="29">
        <v>20</v>
      </c>
    </row>
    <row r="7" spans="1:13" x14ac:dyDescent="0.3">
      <c r="A7" s="50" t="s">
        <v>131</v>
      </c>
      <c r="B7" s="30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</row>
    <row r="8" spans="1:13" x14ac:dyDescent="0.3">
      <c r="A8" s="27" t="s">
        <v>83</v>
      </c>
      <c r="B8" s="28" t="s">
        <v>113</v>
      </c>
      <c r="C8" s="29">
        <v>803</v>
      </c>
      <c r="D8" s="29">
        <v>1</v>
      </c>
      <c r="E8" s="29" t="s">
        <v>76</v>
      </c>
      <c r="F8" s="29">
        <f t="shared" si="2"/>
        <v>1.2</v>
      </c>
      <c r="G8" s="29">
        <f>C8*D8*F8</f>
        <v>963.59999999999991</v>
      </c>
      <c r="H8" s="29">
        <v>0.01</v>
      </c>
      <c r="I8" s="29">
        <f t="shared" si="5"/>
        <v>9.6359999999999992</v>
      </c>
      <c r="J8" s="29">
        <f t="shared" si="3"/>
        <v>1204.5</v>
      </c>
      <c r="K8" s="29">
        <f t="shared" si="4"/>
        <v>1.5</v>
      </c>
      <c r="L8" s="29">
        <f t="shared" ref="L8:L16" si="6">G8+C8</f>
        <v>1766.6</v>
      </c>
      <c r="M8" s="29">
        <v>200</v>
      </c>
    </row>
    <row r="9" spans="1:13" x14ac:dyDescent="0.3">
      <c r="A9" s="27" t="s">
        <v>84</v>
      </c>
      <c r="B9" s="17" t="s">
        <v>110</v>
      </c>
      <c r="C9" s="29">
        <v>1606</v>
      </c>
      <c r="D9" s="29">
        <v>1</v>
      </c>
      <c r="E9" s="29" t="s">
        <v>78</v>
      </c>
      <c r="F9" s="29">
        <f t="shared" si="2"/>
        <v>1.5</v>
      </c>
      <c r="G9" s="29">
        <f t="shared" ref="G9" si="7">C9*D9*F9</f>
        <v>2409</v>
      </c>
      <c r="H9" s="29">
        <v>0.02</v>
      </c>
      <c r="I9" s="29">
        <f t="shared" si="5"/>
        <v>48.18</v>
      </c>
      <c r="J9" s="29">
        <f t="shared" si="3"/>
        <v>2409</v>
      </c>
      <c r="K9" s="29">
        <f t="shared" si="4"/>
        <v>1.5</v>
      </c>
      <c r="L9" s="29">
        <f t="shared" si="6"/>
        <v>4015</v>
      </c>
      <c r="M9" s="29">
        <v>1000</v>
      </c>
    </row>
    <row r="10" spans="1:13" x14ac:dyDescent="0.3">
      <c r="A10" s="33" t="s">
        <v>126</v>
      </c>
      <c r="B10" s="34"/>
      <c r="C10" s="35"/>
      <c r="D10" s="35"/>
      <c r="E10" s="35"/>
      <c r="F10" s="35"/>
      <c r="G10" s="46"/>
      <c r="H10" s="35"/>
      <c r="I10" s="35"/>
      <c r="J10" s="35"/>
      <c r="K10" s="35"/>
      <c r="L10" s="35"/>
      <c r="M10" s="35"/>
    </row>
    <row r="11" spans="1:13" x14ac:dyDescent="0.3">
      <c r="A11" s="27" t="s">
        <v>85</v>
      </c>
      <c r="B11" s="29" t="s">
        <v>104</v>
      </c>
      <c r="C11" s="17">
        <v>287</v>
      </c>
      <c r="D11" s="29">
        <v>1</v>
      </c>
      <c r="E11" s="29" t="s">
        <v>80</v>
      </c>
      <c r="F11" s="29">
        <f t="shared" si="2"/>
        <v>1</v>
      </c>
      <c r="G11" s="29">
        <f>C11*D11*F11</f>
        <v>287</v>
      </c>
      <c r="H11" s="29">
        <v>3</v>
      </c>
      <c r="I11" s="29">
        <f t="shared" si="5"/>
        <v>861</v>
      </c>
      <c r="J11" s="29" t="e">
        <f>#REF!*1.5</f>
        <v>#REF!</v>
      </c>
      <c r="K11" s="29" t="e">
        <f>J11/#REF!</f>
        <v>#REF!</v>
      </c>
      <c r="L11" s="29">
        <f t="shared" si="6"/>
        <v>574</v>
      </c>
      <c r="M11" s="29">
        <v>25</v>
      </c>
    </row>
    <row r="12" spans="1:13" x14ac:dyDescent="0.3">
      <c r="A12" s="27" t="s">
        <v>86</v>
      </c>
      <c r="B12" s="29" t="s">
        <v>105</v>
      </c>
      <c r="C12" s="17">
        <v>275</v>
      </c>
      <c r="D12" s="29">
        <v>1</v>
      </c>
      <c r="E12" s="29" t="s">
        <v>80</v>
      </c>
      <c r="F12" s="29">
        <f t="shared" si="2"/>
        <v>1</v>
      </c>
      <c r="G12" s="29">
        <f t="shared" ref="G12:G15" si="8">C12*D12*F12</f>
        <v>275</v>
      </c>
      <c r="H12" s="29">
        <v>3</v>
      </c>
      <c r="I12" s="29">
        <f t="shared" si="5"/>
        <v>825</v>
      </c>
      <c r="J12" s="29" t="e">
        <f>#REF!*1.5</f>
        <v>#REF!</v>
      </c>
      <c r="K12" s="29" t="e">
        <f>J12/#REF!</f>
        <v>#REF!</v>
      </c>
      <c r="L12" s="29">
        <f t="shared" si="6"/>
        <v>550</v>
      </c>
      <c r="M12" s="29">
        <v>25</v>
      </c>
    </row>
    <row r="13" spans="1:13" x14ac:dyDescent="0.3">
      <c r="A13" s="27" t="s">
        <v>87</v>
      </c>
      <c r="B13" s="29" t="s">
        <v>107</v>
      </c>
      <c r="C13" s="17">
        <v>308</v>
      </c>
      <c r="D13" s="29">
        <v>1</v>
      </c>
      <c r="E13" s="29" t="s">
        <v>80</v>
      </c>
      <c r="F13" s="29">
        <f t="shared" si="2"/>
        <v>1</v>
      </c>
      <c r="G13" s="29">
        <f t="shared" si="8"/>
        <v>308</v>
      </c>
      <c r="H13" s="29">
        <v>3</v>
      </c>
      <c r="I13" s="29">
        <f t="shared" si="5"/>
        <v>924</v>
      </c>
      <c r="J13" s="29" t="e">
        <f>#REF!*1.5</f>
        <v>#REF!</v>
      </c>
      <c r="K13" s="29" t="e">
        <f>J13/#REF!</f>
        <v>#REF!</v>
      </c>
      <c r="L13" s="29">
        <f t="shared" si="6"/>
        <v>616</v>
      </c>
      <c r="M13" s="29">
        <v>25</v>
      </c>
    </row>
    <row r="14" spans="1:13" x14ac:dyDescent="0.3">
      <c r="A14" s="27" t="s">
        <v>88</v>
      </c>
      <c r="B14" s="29" t="s">
        <v>109</v>
      </c>
      <c r="C14" s="17">
        <v>834</v>
      </c>
      <c r="D14" s="29">
        <v>1</v>
      </c>
      <c r="E14" s="29" t="s">
        <v>76</v>
      </c>
      <c r="F14" s="29">
        <f t="shared" si="2"/>
        <v>1.2</v>
      </c>
      <c r="G14" s="29">
        <f t="shared" si="8"/>
        <v>1000.8</v>
      </c>
      <c r="H14" s="29">
        <v>0.1</v>
      </c>
      <c r="I14" s="29">
        <f t="shared" si="5"/>
        <v>100.08</v>
      </c>
      <c r="J14" s="29" t="e">
        <f>#REF!*1.5</f>
        <v>#REF!</v>
      </c>
      <c r="K14" s="29" t="e">
        <f>J14/#REF!</f>
        <v>#REF!</v>
      </c>
      <c r="L14" s="29">
        <f t="shared" si="6"/>
        <v>1834.8</v>
      </c>
      <c r="M14" s="29">
        <v>150</v>
      </c>
    </row>
    <row r="15" spans="1:13" x14ac:dyDescent="0.3">
      <c r="A15" s="27" t="s">
        <v>89</v>
      </c>
      <c r="B15" s="29" t="s">
        <v>108</v>
      </c>
      <c r="C15" s="17">
        <v>894</v>
      </c>
      <c r="D15" s="29">
        <v>1</v>
      </c>
      <c r="E15" s="29" t="s">
        <v>76</v>
      </c>
      <c r="F15" s="29">
        <f t="shared" si="2"/>
        <v>1.2</v>
      </c>
      <c r="G15" s="29">
        <f t="shared" si="8"/>
        <v>1072.8</v>
      </c>
      <c r="H15" s="29">
        <v>0.05</v>
      </c>
      <c r="I15" s="29">
        <f t="shared" si="5"/>
        <v>53.64</v>
      </c>
      <c r="J15" s="29" t="e">
        <f>#REF!*1.5</f>
        <v>#REF!</v>
      </c>
      <c r="K15" s="29" t="e">
        <f>J15/#REF!</f>
        <v>#REF!</v>
      </c>
      <c r="L15" s="29">
        <f t="shared" si="6"/>
        <v>1966.8</v>
      </c>
      <c r="M15" s="29">
        <v>150</v>
      </c>
    </row>
    <row r="16" spans="1:13" x14ac:dyDescent="0.3">
      <c r="A16" s="27" t="s">
        <v>84</v>
      </c>
      <c r="B16" s="29" t="s">
        <v>110</v>
      </c>
      <c r="C16" s="29">
        <v>870</v>
      </c>
      <c r="D16" s="29">
        <v>0.5</v>
      </c>
      <c r="E16" s="29" t="s">
        <v>78</v>
      </c>
      <c r="F16" s="29">
        <f t="shared" si="2"/>
        <v>1.5</v>
      </c>
      <c r="G16" s="29">
        <f>C16*D16*F16</f>
        <v>652.5</v>
      </c>
      <c r="H16" s="29">
        <v>0.02</v>
      </c>
      <c r="I16" s="29">
        <f t="shared" si="5"/>
        <v>13.05</v>
      </c>
      <c r="J16" s="29">
        <f t="shared" si="3"/>
        <v>1305</v>
      </c>
      <c r="K16" s="29">
        <f t="shared" si="4"/>
        <v>1.5</v>
      </c>
      <c r="L16" s="29">
        <f t="shared" si="6"/>
        <v>1522.5</v>
      </c>
      <c r="M16" s="29">
        <v>1000</v>
      </c>
    </row>
    <row r="17" spans="1:23" x14ac:dyDescent="0.3">
      <c r="A17" s="27" t="s">
        <v>67</v>
      </c>
      <c r="B17" s="29" t="s">
        <v>111</v>
      </c>
      <c r="C17" s="29">
        <v>870</v>
      </c>
      <c r="D17" s="29">
        <v>0.5</v>
      </c>
      <c r="E17" s="29" t="s">
        <v>78</v>
      </c>
      <c r="F17" s="29">
        <f t="shared" si="2"/>
        <v>1.5</v>
      </c>
      <c r="G17" s="29">
        <f>C17*D17*F17</f>
        <v>652.5</v>
      </c>
      <c r="H17" s="29">
        <v>0.02</v>
      </c>
      <c r="I17" s="29">
        <f t="shared" si="5"/>
        <v>13.05</v>
      </c>
      <c r="J17" s="29">
        <f t="shared" si="3"/>
        <v>1305</v>
      </c>
      <c r="K17" s="29">
        <f t="shared" si="4"/>
        <v>1.5</v>
      </c>
      <c r="L17" s="29">
        <f>G17+C17</f>
        <v>1522.5</v>
      </c>
      <c r="M17" s="29">
        <v>500</v>
      </c>
    </row>
    <row r="18" spans="1:23" s="21" customFormat="1" x14ac:dyDescent="0.3">
      <c r="A18" s="37" t="s">
        <v>124</v>
      </c>
      <c r="B18" s="38"/>
      <c r="C18" s="39"/>
      <c r="D18" s="40"/>
      <c r="E18" s="40"/>
      <c r="F18" s="40"/>
      <c r="G18" s="40"/>
      <c r="H18" s="40"/>
      <c r="I18" s="40"/>
      <c r="J18" s="40"/>
      <c r="K18" s="40"/>
      <c r="L18" s="40"/>
      <c r="M18" s="51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x14ac:dyDescent="0.3">
      <c r="A19" s="27" t="s">
        <v>85</v>
      </c>
      <c r="B19" s="22"/>
      <c r="C19" s="29">
        <v>300</v>
      </c>
      <c r="D19" s="29">
        <v>1</v>
      </c>
      <c r="E19" s="29" t="s">
        <v>80</v>
      </c>
      <c r="F19" s="29">
        <f t="shared" si="2"/>
        <v>1</v>
      </c>
      <c r="G19" s="29">
        <f t="shared" ref="G19:G25" si="9">C19*D19*F19</f>
        <v>300</v>
      </c>
      <c r="H19" s="29">
        <v>0.02</v>
      </c>
      <c r="I19" s="29">
        <f t="shared" si="5"/>
        <v>6</v>
      </c>
      <c r="J19" s="29">
        <f t="shared" si="3"/>
        <v>450</v>
      </c>
      <c r="K19" s="29">
        <f t="shared" si="4"/>
        <v>1.5</v>
      </c>
      <c r="L19" s="29">
        <f t="shared" ref="L19:L21" si="10">G19+C19</f>
        <v>600</v>
      </c>
      <c r="M19" s="29">
        <v>25</v>
      </c>
    </row>
    <row r="20" spans="1:23" x14ac:dyDescent="0.3">
      <c r="A20" s="27" t="s">
        <v>86</v>
      </c>
      <c r="B20" s="22"/>
      <c r="C20" s="29">
        <v>294</v>
      </c>
      <c r="D20" s="29">
        <v>1</v>
      </c>
      <c r="E20" s="29" t="s">
        <v>80</v>
      </c>
      <c r="F20" s="29">
        <f t="shared" si="2"/>
        <v>1</v>
      </c>
      <c r="G20" s="29">
        <f t="shared" si="9"/>
        <v>294</v>
      </c>
      <c r="H20" s="29">
        <v>0.02</v>
      </c>
      <c r="I20" s="29">
        <f t="shared" si="5"/>
        <v>5.88</v>
      </c>
      <c r="J20" s="29">
        <f t="shared" si="3"/>
        <v>441</v>
      </c>
      <c r="K20" s="29">
        <f t="shared" si="4"/>
        <v>1.5</v>
      </c>
      <c r="L20" s="29">
        <f t="shared" si="10"/>
        <v>588</v>
      </c>
      <c r="M20" s="29">
        <v>25</v>
      </c>
    </row>
    <row r="21" spans="1:23" x14ac:dyDescent="0.3">
      <c r="A21" s="27" t="s">
        <v>87</v>
      </c>
      <c r="B21" s="22"/>
      <c r="C21" s="29">
        <v>276</v>
      </c>
      <c r="D21" s="29">
        <v>1</v>
      </c>
      <c r="E21" s="29" t="s">
        <v>80</v>
      </c>
      <c r="F21" s="29">
        <f t="shared" si="2"/>
        <v>1</v>
      </c>
      <c r="G21" s="29">
        <f t="shared" si="9"/>
        <v>276</v>
      </c>
      <c r="H21" s="29">
        <v>0.02</v>
      </c>
      <c r="I21" s="29">
        <f t="shared" si="5"/>
        <v>5.5200000000000005</v>
      </c>
      <c r="J21" s="29">
        <f t="shared" si="3"/>
        <v>414</v>
      </c>
      <c r="K21" s="29">
        <f t="shared" si="4"/>
        <v>1.5</v>
      </c>
      <c r="L21" s="29">
        <f t="shared" si="10"/>
        <v>552</v>
      </c>
      <c r="M21" s="29">
        <v>25</v>
      </c>
    </row>
    <row r="22" spans="1:23" x14ac:dyDescent="0.3">
      <c r="A22" s="27" t="s">
        <v>88</v>
      </c>
      <c r="B22" s="22"/>
      <c r="C22" s="29">
        <v>861</v>
      </c>
      <c r="D22" s="29">
        <v>1</v>
      </c>
      <c r="E22" s="29" t="s">
        <v>76</v>
      </c>
      <c r="F22" s="29">
        <f t="shared" si="2"/>
        <v>1.2</v>
      </c>
      <c r="G22" s="29">
        <f t="shared" si="9"/>
        <v>1033.2</v>
      </c>
      <c r="H22" s="29">
        <v>0.02</v>
      </c>
      <c r="I22" s="29">
        <f t="shared" si="5"/>
        <v>20.664000000000001</v>
      </c>
      <c r="J22" s="29">
        <f t="shared" si="3"/>
        <v>1291.5</v>
      </c>
      <c r="K22" s="29">
        <f t="shared" si="4"/>
        <v>1.5</v>
      </c>
      <c r="L22" s="29">
        <f>G22+C22</f>
        <v>1894.2</v>
      </c>
      <c r="M22" s="29">
        <v>150</v>
      </c>
    </row>
    <row r="23" spans="1:23" x14ac:dyDescent="0.3">
      <c r="A23" s="27" t="s">
        <v>89</v>
      </c>
      <c r="B23" s="22"/>
      <c r="C23" s="29">
        <v>869</v>
      </c>
      <c r="D23" s="29">
        <v>1</v>
      </c>
      <c r="E23" s="29" t="s">
        <v>76</v>
      </c>
      <c r="F23" s="29">
        <f t="shared" si="2"/>
        <v>1.2</v>
      </c>
      <c r="G23" s="29">
        <f t="shared" si="9"/>
        <v>1042.8</v>
      </c>
      <c r="H23" s="29">
        <v>0.02</v>
      </c>
      <c r="I23" s="29">
        <f t="shared" si="5"/>
        <v>20.855999999999998</v>
      </c>
      <c r="J23" s="29">
        <f t="shared" si="3"/>
        <v>1303.5</v>
      </c>
      <c r="K23" s="29">
        <f t="shared" si="4"/>
        <v>1.5</v>
      </c>
      <c r="L23" s="29">
        <f t="shared" ref="L23:L25" si="11">G23+C23</f>
        <v>1911.8</v>
      </c>
      <c r="M23" s="29">
        <v>150</v>
      </c>
    </row>
    <row r="24" spans="1:23" x14ac:dyDescent="0.3">
      <c r="A24" s="27" t="s">
        <v>84</v>
      </c>
      <c r="B24" s="22"/>
      <c r="C24" s="29">
        <v>870</v>
      </c>
      <c r="D24" s="29">
        <v>0.5</v>
      </c>
      <c r="E24" s="29" t="s">
        <v>78</v>
      </c>
      <c r="F24" s="29">
        <f t="shared" si="2"/>
        <v>1.5</v>
      </c>
      <c r="G24" s="29">
        <f t="shared" si="9"/>
        <v>652.5</v>
      </c>
      <c r="H24" s="29">
        <v>0.02</v>
      </c>
      <c r="I24" s="29">
        <f t="shared" si="5"/>
        <v>13.05</v>
      </c>
      <c r="J24" s="29">
        <f t="shared" si="3"/>
        <v>1305</v>
      </c>
      <c r="K24" s="29">
        <f t="shared" si="4"/>
        <v>1.5</v>
      </c>
      <c r="L24" s="29">
        <f t="shared" si="11"/>
        <v>1522.5</v>
      </c>
      <c r="M24" s="29">
        <v>1000</v>
      </c>
    </row>
    <row r="25" spans="1:23" x14ac:dyDescent="0.3">
      <c r="A25" s="27" t="s">
        <v>130</v>
      </c>
      <c r="B25" s="22"/>
      <c r="C25" s="29">
        <v>870</v>
      </c>
      <c r="D25" s="29">
        <v>0.5</v>
      </c>
      <c r="E25" s="29" t="s">
        <v>78</v>
      </c>
      <c r="F25" s="29">
        <f t="shared" si="2"/>
        <v>1.5</v>
      </c>
      <c r="G25" s="29">
        <f t="shared" si="9"/>
        <v>652.5</v>
      </c>
      <c r="H25" s="29">
        <v>0.02</v>
      </c>
      <c r="I25" s="29">
        <f t="shared" si="5"/>
        <v>13.05</v>
      </c>
      <c r="J25" s="29">
        <f t="shared" si="3"/>
        <v>1305</v>
      </c>
      <c r="K25" s="29">
        <f t="shared" si="4"/>
        <v>1.5</v>
      </c>
      <c r="L25" s="29">
        <f t="shared" si="11"/>
        <v>1522.5</v>
      </c>
      <c r="M25" s="29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8"/>
  <sheetViews>
    <sheetView tabSelected="1" topLeftCell="A6" zoomScale="95" zoomScaleNormal="95" workbookViewId="0">
      <selection activeCell="O25" sqref="O25"/>
    </sheetView>
  </sheetViews>
  <sheetFormatPr baseColWidth="10" defaultColWidth="9.21875" defaultRowHeight="14.4" x14ac:dyDescent="0.3"/>
  <cols>
    <col min="1" max="1" width="28.44140625" customWidth="1"/>
    <col min="2" max="2" width="14.33203125" customWidth="1"/>
    <col min="3" max="3" width="16.21875" customWidth="1"/>
    <col min="4" max="4" width="10.77734375" hidden="1" customWidth="1"/>
    <col min="5" max="6" width="13.21875" hidden="1" customWidth="1"/>
    <col min="7" max="7" width="17" hidden="1" customWidth="1"/>
    <col min="8" max="8" width="13.5546875" customWidth="1"/>
    <col min="9" max="9" width="28.5546875" hidden="1" customWidth="1"/>
    <col min="10" max="10" width="16.21875" hidden="1" customWidth="1"/>
    <col min="11" max="11" width="17.21875" hidden="1" customWidth="1"/>
    <col min="12" max="14" width="19.21875" customWidth="1"/>
    <col min="15" max="15" width="10.21875" customWidth="1"/>
    <col min="16" max="17" width="14.21875" customWidth="1"/>
    <col min="18" max="18" width="13.5546875" customWidth="1"/>
  </cols>
  <sheetData>
    <row r="1" spans="1:25" ht="28.8" x14ac:dyDescent="0.3">
      <c r="A1" s="26" t="s">
        <v>68</v>
      </c>
      <c r="B1" s="8" t="s">
        <v>112</v>
      </c>
      <c r="C1" s="8" t="s">
        <v>69</v>
      </c>
      <c r="D1" s="8" t="s">
        <v>70</v>
      </c>
      <c r="E1" s="8" t="s">
        <v>71</v>
      </c>
      <c r="F1" s="8" t="s">
        <v>95</v>
      </c>
      <c r="G1" s="8" t="s">
        <v>72</v>
      </c>
      <c r="H1" s="8" t="s">
        <v>74</v>
      </c>
      <c r="I1" s="8" t="s">
        <v>75</v>
      </c>
      <c r="J1" s="8" t="s">
        <v>97</v>
      </c>
      <c r="K1" s="8" t="s">
        <v>98</v>
      </c>
      <c r="L1" s="8" t="s">
        <v>122</v>
      </c>
      <c r="M1" s="8" t="s">
        <v>100</v>
      </c>
      <c r="N1" s="8" t="s">
        <v>135</v>
      </c>
      <c r="O1" s="8" t="s">
        <v>139</v>
      </c>
      <c r="P1" s="8" t="s">
        <v>136</v>
      </c>
      <c r="Q1" s="8" t="s">
        <v>182</v>
      </c>
    </row>
    <row r="2" spans="1:25" s="20" customFormat="1" x14ac:dyDescent="0.3">
      <c r="A2" s="43" t="s">
        <v>132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4"/>
      <c r="N2" s="44"/>
      <c r="O2" s="43"/>
      <c r="P2" s="43"/>
      <c r="Q2" s="43"/>
      <c r="R2"/>
      <c r="S2">
        <v>60</v>
      </c>
      <c r="T2"/>
      <c r="U2"/>
      <c r="V2"/>
      <c r="W2"/>
      <c r="X2"/>
      <c r="Y2"/>
    </row>
    <row r="3" spans="1:25" x14ac:dyDescent="0.3">
      <c r="A3" s="27" t="s">
        <v>119</v>
      </c>
      <c r="B3" s="28" t="s">
        <v>106</v>
      </c>
      <c r="C3" s="29">
        <v>906</v>
      </c>
      <c r="D3" s="29">
        <v>1</v>
      </c>
      <c r="E3" s="29" t="s">
        <v>76</v>
      </c>
      <c r="F3" s="29">
        <f>IF(E3="Faible",1,IF(E3="Moyenne",1.2,IF(E3="Forte",1.5,1)))</f>
        <v>1.2</v>
      </c>
      <c r="G3" s="29">
        <f>C3*D3*F3</f>
        <v>1087.2</v>
      </c>
      <c r="H3" s="29">
        <f>C3*1.5</f>
        <v>1359</v>
      </c>
      <c r="I3" s="29">
        <f>H3/C3</f>
        <v>1.5</v>
      </c>
      <c r="J3" s="29">
        <f>G3+C3</f>
        <v>1993.2</v>
      </c>
      <c r="K3" s="29">
        <f>J3-H3</f>
        <v>634.20000000000005</v>
      </c>
      <c r="L3" s="29">
        <v>15</v>
      </c>
      <c r="M3" s="29" t="s">
        <v>138</v>
      </c>
      <c r="N3" s="25" t="s">
        <v>134</v>
      </c>
      <c r="O3" s="29">
        <v>480</v>
      </c>
      <c r="P3" s="29">
        <f>ROUNDUP(H3/L3,0)</f>
        <v>91</v>
      </c>
      <c r="Q3" s="29">
        <f>L3*O3</f>
        <v>7200</v>
      </c>
      <c r="S3">
        <v>57</v>
      </c>
    </row>
    <row r="4" spans="1:25" x14ac:dyDescent="0.3">
      <c r="A4" s="27" t="s">
        <v>133</v>
      </c>
      <c r="B4" s="28"/>
      <c r="C4" s="29">
        <v>845</v>
      </c>
      <c r="D4" s="29">
        <v>1</v>
      </c>
      <c r="E4" s="29" t="s">
        <v>76</v>
      </c>
      <c r="F4" s="29">
        <f>IF(E4="Faible",1,IF(E4="Moyenne",1.2,IF(E4="Forte",1.5,1)))</f>
        <v>1.2</v>
      </c>
      <c r="G4" s="29">
        <f>C4*D4*F4</f>
        <v>1014</v>
      </c>
      <c r="H4" s="29">
        <f>C4*1.5</f>
        <v>1267.5</v>
      </c>
      <c r="I4" s="29">
        <v>1.5</v>
      </c>
      <c r="J4" s="29">
        <f>G4+C4</f>
        <v>1859</v>
      </c>
      <c r="K4" s="29">
        <f>J4-H4</f>
        <v>591.5</v>
      </c>
      <c r="L4" s="29">
        <v>15</v>
      </c>
      <c r="M4" s="29" t="s">
        <v>138</v>
      </c>
      <c r="N4" s="25" t="s">
        <v>134</v>
      </c>
      <c r="O4" s="29">
        <v>480</v>
      </c>
      <c r="P4" s="29">
        <f t="shared" ref="P4:P18" si="0">ROUNDUP(H4/L4,0)</f>
        <v>85</v>
      </c>
      <c r="Q4" s="29">
        <f t="shared" ref="Q4:Q18" si="1">L4*O4</f>
        <v>7200</v>
      </c>
      <c r="S4">
        <v>8</v>
      </c>
    </row>
    <row r="5" spans="1:25" x14ac:dyDescent="0.3">
      <c r="A5" s="27" t="s">
        <v>77</v>
      </c>
      <c r="B5" s="29" t="s">
        <v>101</v>
      </c>
      <c r="C5" s="29">
        <v>7040</v>
      </c>
      <c r="D5" s="29">
        <v>1</v>
      </c>
      <c r="E5" s="29" t="s">
        <v>78</v>
      </c>
      <c r="F5" s="29">
        <f t="shared" ref="F5:F18" si="2">IF(E5="Faible",1,IF(E5="Moyenne",1.2,IF(E5="Forte",1.5,1)))</f>
        <v>1.5</v>
      </c>
      <c r="G5" s="29">
        <f t="shared" ref="G5:G18" si="3">C5*D5*F5</f>
        <v>10560</v>
      </c>
      <c r="H5" s="29">
        <f>C5*1.5</f>
        <v>10560</v>
      </c>
      <c r="I5" s="29">
        <f t="shared" ref="I5:K5" si="4">D5*1.5</f>
        <v>1.5</v>
      </c>
      <c r="J5" s="29" t="e">
        <f t="shared" si="4"/>
        <v>#VALUE!</v>
      </c>
      <c r="K5" s="29">
        <f t="shared" si="4"/>
        <v>2.25</v>
      </c>
      <c r="L5" s="29">
        <v>1000</v>
      </c>
      <c r="M5" s="29" t="s">
        <v>138</v>
      </c>
      <c r="N5" s="25" t="s">
        <v>137</v>
      </c>
      <c r="O5" s="29">
        <v>4</v>
      </c>
      <c r="P5" s="29">
        <f t="shared" si="0"/>
        <v>11</v>
      </c>
      <c r="Q5" s="29">
        <f t="shared" si="1"/>
        <v>4000</v>
      </c>
      <c r="S5">
        <v>4</v>
      </c>
    </row>
    <row r="6" spans="1:25" x14ac:dyDescent="0.3">
      <c r="A6" s="27" t="s">
        <v>79</v>
      </c>
      <c r="B6" s="29" t="s">
        <v>102</v>
      </c>
      <c r="C6" s="29">
        <v>440</v>
      </c>
      <c r="D6" s="29">
        <v>1</v>
      </c>
      <c r="E6" s="29" t="s">
        <v>80</v>
      </c>
      <c r="F6" s="29">
        <f t="shared" si="2"/>
        <v>1</v>
      </c>
      <c r="G6" s="29">
        <f t="shared" si="3"/>
        <v>440</v>
      </c>
      <c r="H6" s="29">
        <f>C6*1.5</f>
        <v>660</v>
      </c>
      <c r="I6" s="29">
        <f>H6/C6</f>
        <v>1.5</v>
      </c>
      <c r="J6" s="29">
        <f>G6+C6</f>
        <v>880</v>
      </c>
      <c r="K6" s="29">
        <f>J6-H6</f>
        <v>220</v>
      </c>
      <c r="L6" s="29">
        <v>20</v>
      </c>
      <c r="M6" s="29" t="s">
        <v>138</v>
      </c>
      <c r="N6" s="29"/>
      <c r="O6" s="29"/>
      <c r="P6" s="29"/>
      <c r="Q6" s="29"/>
      <c r="S6">
        <v>2</v>
      </c>
    </row>
    <row r="7" spans="1:25" x14ac:dyDescent="0.3">
      <c r="A7" s="27" t="s">
        <v>81</v>
      </c>
      <c r="B7" s="29" t="s">
        <v>103</v>
      </c>
      <c r="C7" s="29">
        <v>440</v>
      </c>
      <c r="D7" s="29">
        <v>1</v>
      </c>
      <c r="E7" s="29" t="s">
        <v>80</v>
      </c>
      <c r="F7" s="29">
        <f t="shared" si="2"/>
        <v>1</v>
      </c>
      <c r="G7" s="29">
        <f t="shared" si="3"/>
        <v>440</v>
      </c>
      <c r="H7" s="29">
        <f>C7*1.5</f>
        <v>660</v>
      </c>
      <c r="I7" s="29">
        <f>H7/C7</f>
        <v>1.5</v>
      </c>
      <c r="J7" s="29">
        <f>G7+C7</f>
        <v>880</v>
      </c>
      <c r="K7" s="29">
        <f>J7-H7</f>
        <v>220</v>
      </c>
      <c r="L7" s="29">
        <v>20</v>
      </c>
      <c r="M7" s="29" t="s">
        <v>138</v>
      </c>
      <c r="N7" s="29"/>
      <c r="O7" s="29"/>
      <c r="P7" s="29"/>
      <c r="Q7" s="29"/>
      <c r="S7">
        <v>70</v>
      </c>
    </row>
    <row r="8" spans="1:25" s="23" customFormat="1" x14ac:dyDescent="0.3">
      <c r="A8" s="33" t="s">
        <v>82</v>
      </c>
      <c r="B8" s="3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45"/>
      <c r="P8" s="46"/>
      <c r="Q8" s="46"/>
      <c r="R8"/>
      <c r="S8">
        <v>11</v>
      </c>
      <c r="T8"/>
      <c r="U8"/>
      <c r="V8"/>
      <c r="W8"/>
      <c r="X8"/>
      <c r="Y8"/>
    </row>
    <row r="9" spans="1:25" x14ac:dyDescent="0.3">
      <c r="A9" s="27" t="s">
        <v>83</v>
      </c>
      <c r="B9" s="28" t="s">
        <v>113</v>
      </c>
      <c r="C9" s="29">
        <v>803</v>
      </c>
      <c r="D9" s="29">
        <v>1</v>
      </c>
      <c r="E9" s="29" t="s">
        <v>76</v>
      </c>
      <c r="F9" s="29">
        <f t="shared" si="2"/>
        <v>1.2</v>
      </c>
      <c r="G9" s="29">
        <f t="shared" si="3"/>
        <v>963.59999999999991</v>
      </c>
      <c r="H9" s="29">
        <f>C9*1.5</f>
        <v>1204.5</v>
      </c>
      <c r="I9" s="29">
        <f>H9/C9</f>
        <v>1.5</v>
      </c>
      <c r="J9" s="29">
        <f>G9+C9</f>
        <v>1766.6</v>
      </c>
      <c r="K9" s="29">
        <f>J9-H9</f>
        <v>562.09999999999991</v>
      </c>
      <c r="L9" s="29">
        <v>200</v>
      </c>
      <c r="M9" s="29" t="s">
        <v>138</v>
      </c>
      <c r="N9" s="25" t="s">
        <v>137</v>
      </c>
      <c r="O9" s="29">
        <v>45</v>
      </c>
      <c r="P9" s="29">
        <f t="shared" si="0"/>
        <v>7</v>
      </c>
      <c r="Q9" s="29">
        <f t="shared" si="1"/>
        <v>9000</v>
      </c>
      <c r="S9">
        <v>12</v>
      </c>
    </row>
    <row r="10" spans="1:25" x14ac:dyDescent="0.3">
      <c r="A10" s="27" t="s">
        <v>84</v>
      </c>
      <c r="B10" s="17" t="s">
        <v>110</v>
      </c>
      <c r="C10" s="29">
        <v>1606</v>
      </c>
      <c r="D10" s="29">
        <v>1</v>
      </c>
      <c r="E10" s="29" t="s">
        <v>78</v>
      </c>
      <c r="F10" s="29">
        <f t="shared" si="2"/>
        <v>1.5</v>
      </c>
      <c r="G10" s="29">
        <f t="shared" si="3"/>
        <v>2409</v>
      </c>
      <c r="H10" s="29">
        <f>C10*1.5</f>
        <v>2409</v>
      </c>
      <c r="I10" s="29">
        <f>H10/C10</f>
        <v>1.5</v>
      </c>
      <c r="J10" s="29">
        <f>G10+C10</f>
        <v>4015</v>
      </c>
      <c r="K10" s="29">
        <f>J10-H10</f>
        <v>1606</v>
      </c>
      <c r="L10" s="29">
        <v>1000</v>
      </c>
      <c r="M10" s="29" t="s">
        <v>138</v>
      </c>
      <c r="N10" s="25" t="s">
        <v>137</v>
      </c>
      <c r="O10" s="29">
        <v>4</v>
      </c>
      <c r="P10" s="29">
        <f t="shared" si="0"/>
        <v>3</v>
      </c>
      <c r="Q10" s="29">
        <f t="shared" si="1"/>
        <v>4000</v>
      </c>
      <c r="S10">
        <v>2</v>
      </c>
    </row>
    <row r="11" spans="1:25" s="24" customFormat="1" x14ac:dyDescent="0.3">
      <c r="A11" s="47" t="s">
        <v>125</v>
      </c>
      <c r="B11" s="66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8"/>
      <c r="P11" s="48"/>
      <c r="Q11" s="49"/>
      <c r="R11"/>
      <c r="S11">
        <v>6</v>
      </c>
      <c r="T11"/>
      <c r="U11"/>
      <c r="V11"/>
      <c r="W11"/>
      <c r="X11"/>
      <c r="Y11"/>
    </row>
    <row r="12" spans="1:25" x14ac:dyDescent="0.3">
      <c r="A12" s="27" t="s">
        <v>85</v>
      </c>
      <c r="B12" s="29" t="s">
        <v>104</v>
      </c>
      <c r="C12" s="29">
        <v>587</v>
      </c>
      <c r="D12" s="29">
        <v>1</v>
      </c>
      <c r="E12" s="29" t="s">
        <v>80</v>
      </c>
      <c r="F12" s="29">
        <f t="shared" si="2"/>
        <v>1</v>
      </c>
      <c r="G12" s="29">
        <f t="shared" si="3"/>
        <v>587</v>
      </c>
      <c r="H12" s="29">
        <f t="shared" ref="H12:H18" si="5">C12*1.5</f>
        <v>880.5</v>
      </c>
      <c r="I12" s="29">
        <f t="shared" ref="I12:I18" si="6">H12/C12</f>
        <v>1.5</v>
      </c>
      <c r="J12" s="29">
        <f t="shared" ref="J12:J18" si="7">G12+C12</f>
        <v>1174</v>
      </c>
      <c r="K12" s="29">
        <f t="shared" ref="K12:K18" si="8">J12-H12</f>
        <v>293.5</v>
      </c>
      <c r="L12" s="29">
        <v>25</v>
      </c>
      <c r="M12" s="29" t="s">
        <v>138</v>
      </c>
      <c r="N12" s="29" t="s">
        <v>134</v>
      </c>
      <c r="O12" s="29">
        <v>190</v>
      </c>
      <c r="P12" s="29">
        <f t="shared" si="0"/>
        <v>36</v>
      </c>
      <c r="Q12" s="29">
        <f t="shared" si="1"/>
        <v>4750</v>
      </c>
    </row>
    <row r="13" spans="1:25" x14ac:dyDescent="0.3">
      <c r="A13" s="27" t="s">
        <v>86</v>
      </c>
      <c r="B13" s="29" t="s">
        <v>105</v>
      </c>
      <c r="C13" s="29">
        <v>569</v>
      </c>
      <c r="D13" s="29">
        <v>1</v>
      </c>
      <c r="E13" s="29" t="s">
        <v>80</v>
      </c>
      <c r="F13" s="29">
        <f t="shared" si="2"/>
        <v>1</v>
      </c>
      <c r="G13" s="29">
        <f t="shared" si="3"/>
        <v>569</v>
      </c>
      <c r="H13" s="29">
        <f t="shared" si="5"/>
        <v>853.5</v>
      </c>
      <c r="I13" s="29">
        <f t="shared" si="6"/>
        <v>1.5</v>
      </c>
      <c r="J13" s="29">
        <f t="shared" si="7"/>
        <v>1138</v>
      </c>
      <c r="K13" s="29">
        <f t="shared" si="8"/>
        <v>284.5</v>
      </c>
      <c r="L13" s="29">
        <v>25</v>
      </c>
      <c r="M13" s="29" t="s">
        <v>138</v>
      </c>
      <c r="N13" s="29" t="s">
        <v>134</v>
      </c>
      <c r="O13" s="29">
        <v>190</v>
      </c>
      <c r="P13" s="29">
        <f t="shared" si="0"/>
        <v>35</v>
      </c>
      <c r="Q13" s="29">
        <f t="shared" si="1"/>
        <v>4750</v>
      </c>
    </row>
    <row r="14" spans="1:25" x14ac:dyDescent="0.3">
      <c r="A14" s="27" t="s">
        <v>87</v>
      </c>
      <c r="B14" s="29" t="s">
        <v>107</v>
      </c>
      <c r="C14" s="29">
        <v>584</v>
      </c>
      <c r="D14" s="29">
        <v>1</v>
      </c>
      <c r="E14" s="29" t="s">
        <v>80</v>
      </c>
      <c r="F14" s="29">
        <f t="shared" si="2"/>
        <v>1</v>
      </c>
      <c r="G14" s="29">
        <f t="shared" si="3"/>
        <v>584</v>
      </c>
      <c r="H14" s="29">
        <f t="shared" si="5"/>
        <v>876</v>
      </c>
      <c r="I14" s="29">
        <f t="shared" si="6"/>
        <v>1.5</v>
      </c>
      <c r="J14" s="29">
        <f t="shared" si="7"/>
        <v>1168</v>
      </c>
      <c r="K14" s="29">
        <f t="shared" si="8"/>
        <v>292</v>
      </c>
      <c r="L14" s="29">
        <v>25</v>
      </c>
      <c r="M14" s="29" t="s">
        <v>138</v>
      </c>
      <c r="N14" s="29" t="s">
        <v>134</v>
      </c>
      <c r="O14" s="29">
        <v>190</v>
      </c>
      <c r="P14" s="29">
        <f t="shared" si="0"/>
        <v>36</v>
      </c>
      <c r="Q14" s="29">
        <f t="shared" si="1"/>
        <v>4750</v>
      </c>
    </row>
    <row r="15" spans="1:25" x14ac:dyDescent="0.3">
      <c r="A15" s="27" t="s">
        <v>88</v>
      </c>
      <c r="B15" s="29" t="s">
        <v>109</v>
      </c>
      <c r="C15" s="29">
        <v>1695</v>
      </c>
      <c r="D15" s="29">
        <v>1</v>
      </c>
      <c r="E15" s="29" t="s">
        <v>76</v>
      </c>
      <c r="F15" s="29">
        <f t="shared" si="2"/>
        <v>1.2</v>
      </c>
      <c r="G15" s="29">
        <f t="shared" si="3"/>
        <v>2034</v>
      </c>
      <c r="H15" s="29">
        <f t="shared" si="5"/>
        <v>2542.5</v>
      </c>
      <c r="I15" s="29">
        <f t="shared" si="6"/>
        <v>1.5</v>
      </c>
      <c r="J15" s="29">
        <f t="shared" si="7"/>
        <v>3729</v>
      </c>
      <c r="K15" s="29">
        <f t="shared" si="8"/>
        <v>1186.5</v>
      </c>
      <c r="L15" s="29">
        <v>150</v>
      </c>
      <c r="M15" s="29" t="s">
        <v>138</v>
      </c>
      <c r="N15" s="25" t="s">
        <v>137</v>
      </c>
      <c r="O15" s="29">
        <v>12</v>
      </c>
      <c r="P15" s="29">
        <f t="shared" si="0"/>
        <v>17</v>
      </c>
      <c r="Q15" s="29">
        <f t="shared" si="1"/>
        <v>1800</v>
      </c>
    </row>
    <row r="16" spans="1:25" x14ac:dyDescent="0.3">
      <c r="A16" s="27" t="s">
        <v>89</v>
      </c>
      <c r="B16" s="29" t="s">
        <v>108</v>
      </c>
      <c r="C16" s="29">
        <v>1763</v>
      </c>
      <c r="D16" s="29">
        <v>1</v>
      </c>
      <c r="E16" s="29" t="s">
        <v>76</v>
      </c>
      <c r="F16" s="29">
        <f t="shared" si="2"/>
        <v>1.2</v>
      </c>
      <c r="G16" s="29">
        <f t="shared" si="3"/>
        <v>2115.6</v>
      </c>
      <c r="H16" s="29">
        <f t="shared" si="5"/>
        <v>2644.5</v>
      </c>
      <c r="I16" s="29">
        <f t="shared" si="6"/>
        <v>1.5</v>
      </c>
      <c r="J16" s="29">
        <f t="shared" si="7"/>
        <v>3878.6</v>
      </c>
      <c r="K16" s="29">
        <f t="shared" si="8"/>
        <v>1234.0999999999999</v>
      </c>
      <c r="L16" s="29">
        <v>150</v>
      </c>
      <c r="M16" s="29" t="s">
        <v>138</v>
      </c>
      <c r="N16" s="25" t="s">
        <v>137</v>
      </c>
      <c r="O16" s="29">
        <v>12</v>
      </c>
      <c r="P16" s="29">
        <f t="shared" si="0"/>
        <v>18</v>
      </c>
      <c r="Q16" s="29">
        <f t="shared" si="1"/>
        <v>1800</v>
      </c>
    </row>
    <row r="17" spans="1:17" x14ac:dyDescent="0.3">
      <c r="A17" s="27" t="s">
        <v>84</v>
      </c>
      <c r="B17" s="29" t="s">
        <v>110</v>
      </c>
      <c r="C17" s="29">
        <v>1740</v>
      </c>
      <c r="D17" s="29">
        <v>0.5</v>
      </c>
      <c r="E17" s="29" t="s">
        <v>78</v>
      </c>
      <c r="F17" s="29">
        <f t="shared" si="2"/>
        <v>1.5</v>
      </c>
      <c r="G17" s="29">
        <f t="shared" si="3"/>
        <v>1305</v>
      </c>
      <c r="H17" s="29">
        <f t="shared" si="5"/>
        <v>2610</v>
      </c>
      <c r="I17" s="29">
        <f t="shared" si="6"/>
        <v>1.5</v>
      </c>
      <c r="J17" s="29">
        <f t="shared" si="7"/>
        <v>3045</v>
      </c>
      <c r="K17" s="29">
        <f t="shared" si="8"/>
        <v>435</v>
      </c>
      <c r="L17" s="29">
        <v>1000</v>
      </c>
      <c r="M17" s="29" t="s">
        <v>138</v>
      </c>
      <c r="N17" s="25" t="s">
        <v>137</v>
      </c>
      <c r="O17" s="29">
        <v>4</v>
      </c>
      <c r="P17" s="29">
        <f t="shared" si="0"/>
        <v>3</v>
      </c>
      <c r="Q17" s="29">
        <f t="shared" si="1"/>
        <v>4000</v>
      </c>
    </row>
    <row r="18" spans="1:17" x14ac:dyDescent="0.3">
      <c r="A18" s="27" t="s">
        <v>67</v>
      </c>
      <c r="B18" s="29" t="s">
        <v>111</v>
      </c>
      <c r="C18" s="29">
        <v>1740</v>
      </c>
      <c r="D18" s="29">
        <v>0.5</v>
      </c>
      <c r="E18" s="29" t="s">
        <v>78</v>
      </c>
      <c r="F18" s="29">
        <f t="shared" si="2"/>
        <v>1.5</v>
      </c>
      <c r="G18" s="29">
        <f t="shared" si="3"/>
        <v>1305</v>
      </c>
      <c r="H18" s="29">
        <f t="shared" si="5"/>
        <v>2610</v>
      </c>
      <c r="I18" s="29">
        <f t="shared" si="6"/>
        <v>1.5</v>
      </c>
      <c r="J18" s="29">
        <f t="shared" si="7"/>
        <v>3045</v>
      </c>
      <c r="K18" s="29">
        <f t="shared" si="8"/>
        <v>435</v>
      </c>
      <c r="L18" s="29">
        <v>350</v>
      </c>
      <c r="M18" s="29" t="s">
        <v>138</v>
      </c>
      <c r="N18" s="29" t="s">
        <v>137</v>
      </c>
      <c r="O18" s="29">
        <v>26</v>
      </c>
      <c r="P18" s="29">
        <f t="shared" si="0"/>
        <v>8</v>
      </c>
      <c r="Q18" s="29">
        <f t="shared" si="1"/>
        <v>9100</v>
      </c>
    </row>
    <row r="21" spans="1:17" ht="28.8" x14ac:dyDescent="0.3">
      <c r="A21" s="8" t="s">
        <v>178</v>
      </c>
      <c r="B21" s="8" t="s">
        <v>69</v>
      </c>
      <c r="C21" s="8" t="s">
        <v>181</v>
      </c>
      <c r="D21" s="69"/>
      <c r="E21" s="69"/>
      <c r="F21" s="69"/>
      <c r="G21" s="69"/>
      <c r="H21" s="8" t="s">
        <v>136</v>
      </c>
      <c r="I21" s="69"/>
      <c r="J21" s="69"/>
      <c r="K21" s="69"/>
      <c r="L21" s="8" t="s">
        <v>139</v>
      </c>
      <c r="M21" s="8" t="s">
        <v>183</v>
      </c>
    </row>
    <row r="22" spans="1:17" x14ac:dyDescent="0.3">
      <c r="A22" s="27" t="s">
        <v>119</v>
      </c>
      <c r="B22" s="29">
        <v>906</v>
      </c>
      <c r="C22" s="29">
        <v>15</v>
      </c>
      <c r="D22" s="29"/>
      <c r="E22" s="29"/>
      <c r="F22" s="29"/>
      <c r="G22" s="29"/>
      <c r="H22" s="29">
        <f>ROUNDUP(B22/C22,0)</f>
        <v>61</v>
      </c>
      <c r="I22" s="29"/>
      <c r="J22" s="29"/>
      <c r="K22" s="29"/>
      <c r="L22" s="29">
        <v>480</v>
      </c>
      <c r="M22" s="29">
        <v>7200</v>
      </c>
    </row>
    <row r="23" spans="1:17" x14ac:dyDescent="0.3">
      <c r="A23" s="27" t="s">
        <v>133</v>
      </c>
      <c r="B23" s="29">
        <v>845</v>
      </c>
      <c r="C23" s="29">
        <v>15</v>
      </c>
      <c r="D23" s="29"/>
      <c r="E23" s="29"/>
      <c r="F23" s="29"/>
      <c r="G23" s="29"/>
      <c r="H23" s="29">
        <f t="shared" ref="H23:H28" si="9">ROUNDUP(B23/C23,0)</f>
        <v>57</v>
      </c>
      <c r="I23" s="29"/>
      <c r="J23" s="29"/>
      <c r="K23" s="29"/>
      <c r="L23" s="29">
        <v>480</v>
      </c>
      <c r="M23" s="29">
        <v>7200</v>
      </c>
    </row>
    <row r="24" spans="1:17" x14ac:dyDescent="0.3">
      <c r="A24" s="27" t="s">
        <v>77</v>
      </c>
      <c r="B24" s="29">
        <v>10386</v>
      </c>
      <c r="C24" s="29">
        <v>1000</v>
      </c>
      <c r="D24" s="29"/>
      <c r="E24" s="29"/>
      <c r="F24" s="29"/>
      <c r="G24" s="29"/>
      <c r="H24" s="29">
        <f t="shared" si="9"/>
        <v>11</v>
      </c>
      <c r="I24" s="29"/>
      <c r="J24" s="29"/>
      <c r="K24" s="29"/>
      <c r="L24" s="29">
        <v>4</v>
      </c>
      <c r="M24" s="29">
        <v>4000</v>
      </c>
    </row>
    <row r="25" spans="1:17" x14ac:dyDescent="0.3">
      <c r="A25" s="27" t="s">
        <v>83</v>
      </c>
      <c r="B25" s="29">
        <v>803</v>
      </c>
      <c r="C25" s="29">
        <v>200</v>
      </c>
      <c r="D25" s="29"/>
      <c r="E25" s="29"/>
      <c r="F25" s="29"/>
      <c r="G25" s="29"/>
      <c r="H25" s="29">
        <f t="shared" si="9"/>
        <v>5</v>
      </c>
      <c r="I25" s="29"/>
      <c r="J25" s="29"/>
      <c r="K25" s="29"/>
      <c r="L25" s="29">
        <v>45</v>
      </c>
      <c r="M25" s="29">
        <v>9000</v>
      </c>
    </row>
    <row r="26" spans="1:17" x14ac:dyDescent="0.3">
      <c r="A26" s="27" t="s">
        <v>179</v>
      </c>
      <c r="B26" s="29">
        <v>1740</v>
      </c>
      <c r="C26" s="29">
        <v>25</v>
      </c>
      <c r="D26" s="29"/>
      <c r="E26" s="29"/>
      <c r="F26" s="29"/>
      <c r="G26" s="29"/>
      <c r="H26" s="29">
        <f t="shared" si="9"/>
        <v>70</v>
      </c>
      <c r="I26" s="29"/>
      <c r="J26" s="29"/>
      <c r="K26" s="29"/>
      <c r="L26" s="29">
        <v>190</v>
      </c>
      <c r="M26" s="29">
        <v>4750</v>
      </c>
    </row>
    <row r="27" spans="1:17" x14ac:dyDescent="0.3">
      <c r="A27" s="27" t="s">
        <v>180</v>
      </c>
      <c r="B27" s="29">
        <v>3458</v>
      </c>
      <c r="C27" s="29">
        <v>150</v>
      </c>
      <c r="D27" s="29"/>
      <c r="E27" s="29"/>
      <c r="F27" s="29"/>
      <c r="G27" s="29"/>
      <c r="H27" s="29">
        <f t="shared" si="9"/>
        <v>24</v>
      </c>
      <c r="I27" s="29"/>
      <c r="J27" s="29"/>
      <c r="K27" s="29"/>
      <c r="L27" s="29">
        <v>12</v>
      </c>
      <c r="M27" s="29">
        <v>1800</v>
      </c>
    </row>
    <row r="28" spans="1:17" x14ac:dyDescent="0.3">
      <c r="A28" s="27" t="s">
        <v>67</v>
      </c>
      <c r="B28" s="29">
        <v>10386</v>
      </c>
      <c r="C28" s="29">
        <v>1000</v>
      </c>
      <c r="D28" s="29"/>
      <c r="E28" s="29"/>
      <c r="F28" s="29"/>
      <c r="G28" s="29"/>
      <c r="H28" s="29">
        <f t="shared" si="9"/>
        <v>11</v>
      </c>
      <c r="I28" s="29"/>
      <c r="J28" s="29"/>
      <c r="K28" s="29"/>
      <c r="L28" s="29">
        <v>8</v>
      </c>
      <c r="M28" s="29">
        <v>8000</v>
      </c>
    </row>
  </sheetData>
  <mergeCells count="1">
    <mergeCell ref="B11:O1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26C5-104D-4C24-B65F-CBA9E8537E11}">
  <dimension ref="A1:S25"/>
  <sheetViews>
    <sheetView zoomScale="85" zoomScaleNormal="85" workbookViewId="0">
      <selection activeCell="N23" sqref="N23"/>
    </sheetView>
  </sheetViews>
  <sheetFormatPr baseColWidth="10" defaultColWidth="9.21875" defaultRowHeight="14.4" x14ac:dyDescent="0.3"/>
  <cols>
    <col min="1" max="1" width="18" bestFit="1" customWidth="1"/>
    <col min="2" max="2" width="9.77734375" customWidth="1"/>
    <col min="3" max="3" width="9.109375" bestFit="1" customWidth="1"/>
    <col min="4" max="5" width="9.77734375" hidden="1" customWidth="1"/>
    <col min="6" max="9" width="9.77734375" customWidth="1"/>
    <col min="10" max="10" width="12.44140625" bestFit="1" customWidth="1"/>
    <col min="11" max="11" width="11.88671875" customWidth="1"/>
  </cols>
  <sheetData>
    <row r="1" spans="1:11" s="18" customFormat="1" ht="72" x14ac:dyDescent="0.3">
      <c r="A1" s="26" t="s">
        <v>68</v>
      </c>
      <c r="B1" s="8" t="s">
        <v>112</v>
      </c>
      <c r="C1" s="8" t="s">
        <v>117</v>
      </c>
      <c r="D1" s="8" t="s">
        <v>74</v>
      </c>
      <c r="E1" s="8" t="s">
        <v>115</v>
      </c>
      <c r="F1" s="8" t="s">
        <v>99</v>
      </c>
      <c r="G1" s="8" t="s">
        <v>123</v>
      </c>
      <c r="H1" s="8" t="s">
        <v>114</v>
      </c>
      <c r="I1" s="8" t="s">
        <v>168</v>
      </c>
      <c r="J1" s="8" t="s">
        <v>174</v>
      </c>
      <c r="K1" s="8" t="s">
        <v>177</v>
      </c>
    </row>
    <row r="2" spans="1:11" x14ac:dyDescent="0.3">
      <c r="A2" s="27" t="s">
        <v>119</v>
      </c>
      <c r="B2" s="28" t="s">
        <v>106</v>
      </c>
      <c r="C2" s="29">
        <v>906</v>
      </c>
      <c r="D2" s="29">
        <f>C2*1.5</f>
        <v>1359</v>
      </c>
      <c r="E2" s="29">
        <f>D2/C2</f>
        <v>1.5</v>
      </c>
      <c r="F2" s="29">
        <v>15</v>
      </c>
      <c r="G2" s="25">
        <v>5</v>
      </c>
      <c r="H2" s="25">
        <f>ROUNDUP(C2/F2,0)</f>
        <v>61</v>
      </c>
      <c r="I2" s="25" t="s">
        <v>166</v>
      </c>
      <c r="J2" s="25">
        <v>7.1</v>
      </c>
      <c r="K2" s="25">
        <f>ROUNDUP((G2*J2),0)</f>
        <v>36</v>
      </c>
    </row>
    <row r="3" spans="1:11" x14ac:dyDescent="0.3">
      <c r="A3" s="27" t="s">
        <v>120</v>
      </c>
      <c r="B3" s="28"/>
      <c r="C3" s="29">
        <v>845</v>
      </c>
      <c r="D3" s="29">
        <f>C3*1.5</f>
        <v>1267.5</v>
      </c>
      <c r="E3" s="29">
        <v>1.5</v>
      </c>
      <c r="F3" s="29">
        <v>15</v>
      </c>
      <c r="G3" s="25">
        <v>5</v>
      </c>
      <c r="H3" s="25">
        <f>ROUNDUP(C3/F3,0)</f>
        <v>57</v>
      </c>
      <c r="I3" s="25" t="s">
        <v>167</v>
      </c>
      <c r="J3" s="25">
        <v>7.8</v>
      </c>
      <c r="K3" s="25">
        <f t="shared" ref="K3:K4" si="0">ROUNDUP((G3*J3),0)</f>
        <v>39</v>
      </c>
    </row>
    <row r="4" spans="1:11" x14ac:dyDescent="0.3">
      <c r="A4" s="27" t="s">
        <v>77</v>
      </c>
      <c r="B4" s="29" t="s">
        <v>101</v>
      </c>
      <c r="C4" s="29">
        <v>7040</v>
      </c>
      <c r="D4" s="29">
        <f>C4*1.5</f>
        <v>10560</v>
      </c>
      <c r="E4" s="29">
        <f>D4/C4</f>
        <v>1.5</v>
      </c>
      <c r="F4" s="29">
        <v>1000</v>
      </c>
      <c r="G4" s="29">
        <v>3</v>
      </c>
      <c r="H4" s="25">
        <f>ROUNDUP(C4/F4,0)</f>
        <v>8</v>
      </c>
      <c r="I4" s="25">
        <v>16</v>
      </c>
      <c r="J4" s="25">
        <v>62</v>
      </c>
      <c r="K4" s="25">
        <f t="shared" si="0"/>
        <v>186</v>
      </c>
    </row>
    <row r="5" spans="1:11" x14ac:dyDescent="0.3">
      <c r="A5" s="27" t="s">
        <v>79</v>
      </c>
      <c r="B5" s="29" t="s">
        <v>102</v>
      </c>
      <c r="C5" s="29">
        <v>440</v>
      </c>
      <c r="D5" s="29">
        <f>C5*1.5</f>
        <v>660</v>
      </c>
      <c r="E5" s="29">
        <f>D5/C5</f>
        <v>1.5</v>
      </c>
      <c r="F5" s="29">
        <v>20</v>
      </c>
      <c r="G5" s="29">
        <v>1</v>
      </c>
      <c r="H5" s="25">
        <f>ROUNDUP(C5/F5,0)</f>
        <v>22</v>
      </c>
      <c r="I5" s="25">
        <v>1</v>
      </c>
      <c r="J5" s="25">
        <v>20</v>
      </c>
      <c r="K5" s="25"/>
    </row>
    <row r="6" spans="1:11" x14ac:dyDescent="0.3">
      <c r="A6" s="27" t="s">
        <v>81</v>
      </c>
      <c r="B6" s="29" t="s">
        <v>103</v>
      </c>
      <c r="C6" s="29">
        <v>440</v>
      </c>
      <c r="D6" s="29">
        <f>C6*1.5</f>
        <v>660</v>
      </c>
      <c r="E6" s="29">
        <f>D6/C6</f>
        <v>1.5</v>
      </c>
      <c r="F6" s="29">
        <v>20</v>
      </c>
      <c r="G6" s="29">
        <v>1</v>
      </c>
      <c r="H6" s="25">
        <f>ROUNDUP(C6/F6,0)</f>
        <v>22</v>
      </c>
      <c r="I6" s="25">
        <v>1</v>
      </c>
      <c r="J6" s="25">
        <v>20</v>
      </c>
      <c r="K6" s="25"/>
    </row>
    <row r="7" spans="1:11" x14ac:dyDescent="0.3">
      <c r="A7" s="42" t="s">
        <v>131</v>
      </c>
      <c r="B7" s="31"/>
      <c r="C7" s="31"/>
      <c r="D7" s="31"/>
      <c r="E7" s="31"/>
      <c r="F7" s="31"/>
      <c r="G7" s="31"/>
      <c r="H7" s="32"/>
      <c r="I7" s="32"/>
      <c r="J7" s="32"/>
      <c r="K7" s="32"/>
    </row>
    <row r="8" spans="1:11" x14ac:dyDescent="0.3">
      <c r="A8" s="27" t="s">
        <v>83</v>
      </c>
      <c r="B8" s="28" t="s">
        <v>113</v>
      </c>
      <c r="C8" s="29">
        <v>803</v>
      </c>
      <c r="D8" s="29">
        <f>C8*1.5</f>
        <v>1204.5</v>
      </c>
      <c r="E8" s="29">
        <f>D8/C8</f>
        <v>1.5</v>
      </c>
      <c r="F8" s="29">
        <v>201</v>
      </c>
      <c r="G8" s="29">
        <v>2</v>
      </c>
      <c r="H8" s="25">
        <f>ROUNDUP(C8/F8,0)</f>
        <v>4</v>
      </c>
      <c r="I8" s="25" t="s">
        <v>169</v>
      </c>
      <c r="J8" s="25">
        <v>111</v>
      </c>
      <c r="K8" s="25">
        <f>ROUNDUP((G8*J8),0)</f>
        <v>222</v>
      </c>
    </row>
    <row r="9" spans="1:11" x14ac:dyDescent="0.3">
      <c r="A9" s="27" t="s">
        <v>84</v>
      </c>
      <c r="B9" s="17" t="s">
        <v>110</v>
      </c>
      <c r="C9" s="29">
        <v>1606</v>
      </c>
      <c r="D9" s="29">
        <f>C9*1.5</f>
        <v>2409</v>
      </c>
      <c r="E9" s="29">
        <f>D9/C9</f>
        <v>1.5</v>
      </c>
      <c r="F9" s="29">
        <v>1000</v>
      </c>
      <c r="G9" s="29">
        <v>2</v>
      </c>
      <c r="H9" s="25">
        <f>ROUNDUP(C9/F9,0)</f>
        <v>2</v>
      </c>
      <c r="I9" s="25" t="s">
        <v>170</v>
      </c>
      <c r="J9" s="25">
        <v>270</v>
      </c>
      <c r="K9" s="25">
        <f>ROUNDUP((G9*J9),0)</f>
        <v>540</v>
      </c>
    </row>
    <row r="10" spans="1:11" x14ac:dyDescent="0.3">
      <c r="A10" s="33" t="s">
        <v>126</v>
      </c>
      <c r="B10" s="34"/>
      <c r="C10" s="35"/>
      <c r="D10" s="35"/>
      <c r="E10" s="35"/>
      <c r="F10" s="35"/>
      <c r="G10" s="35"/>
      <c r="H10" s="36"/>
      <c r="I10" s="36"/>
      <c r="J10" s="36"/>
      <c r="K10" s="36"/>
    </row>
    <row r="11" spans="1:11" x14ac:dyDescent="0.3">
      <c r="A11" s="27" t="s">
        <v>85</v>
      </c>
      <c r="B11" s="29" t="s">
        <v>104</v>
      </c>
      <c r="C11" s="29">
        <v>287</v>
      </c>
      <c r="D11" s="29" t="e">
        <f>#REF!*1.5</f>
        <v>#REF!</v>
      </c>
      <c r="E11" s="29" t="e">
        <f>D11/#REF!</f>
        <v>#REF!</v>
      </c>
      <c r="F11" s="29">
        <v>25</v>
      </c>
      <c r="G11" s="29">
        <v>5</v>
      </c>
      <c r="H11" s="25">
        <f t="shared" ref="H11:H17" si="1">ROUNDUP(C11/F11,0)</f>
        <v>12</v>
      </c>
      <c r="I11" s="25" t="s">
        <v>167</v>
      </c>
      <c r="J11" s="25">
        <v>13</v>
      </c>
      <c r="K11" s="25">
        <f t="shared" ref="K11:K25" si="2">ROUNDUP((G11*J11),0)</f>
        <v>65</v>
      </c>
    </row>
    <row r="12" spans="1:11" x14ac:dyDescent="0.3">
      <c r="A12" s="27" t="s">
        <v>86</v>
      </c>
      <c r="B12" s="29" t="s">
        <v>105</v>
      </c>
      <c r="C12" s="29">
        <v>275</v>
      </c>
      <c r="D12" s="29" t="e">
        <f>#REF!*1.5</f>
        <v>#REF!</v>
      </c>
      <c r="E12" s="29" t="e">
        <f>D12/#REF!</f>
        <v>#REF!</v>
      </c>
      <c r="F12" s="29">
        <v>25</v>
      </c>
      <c r="G12" s="29">
        <v>5</v>
      </c>
      <c r="H12" s="25">
        <f t="shared" si="1"/>
        <v>11</v>
      </c>
      <c r="I12" s="25" t="s">
        <v>167</v>
      </c>
      <c r="J12" s="25">
        <v>13</v>
      </c>
      <c r="K12" s="25">
        <f t="shared" si="2"/>
        <v>65</v>
      </c>
    </row>
    <row r="13" spans="1:11" x14ac:dyDescent="0.3">
      <c r="A13" s="27" t="s">
        <v>87</v>
      </c>
      <c r="B13" s="29" t="s">
        <v>107</v>
      </c>
      <c r="C13" s="29">
        <v>308</v>
      </c>
      <c r="D13" s="29" t="e">
        <f>#REF!*1.5</f>
        <v>#REF!</v>
      </c>
      <c r="E13" s="29" t="e">
        <f>D13/#REF!</f>
        <v>#REF!</v>
      </c>
      <c r="F13" s="29">
        <v>25</v>
      </c>
      <c r="G13" s="29">
        <v>5</v>
      </c>
      <c r="H13" s="25">
        <f t="shared" si="1"/>
        <v>13</v>
      </c>
      <c r="I13" s="25" t="s">
        <v>167</v>
      </c>
      <c r="J13" s="25">
        <v>13</v>
      </c>
      <c r="K13" s="25">
        <f t="shared" si="2"/>
        <v>65</v>
      </c>
    </row>
    <row r="14" spans="1:11" x14ac:dyDescent="0.3">
      <c r="A14" s="27" t="s">
        <v>88</v>
      </c>
      <c r="B14" s="29" t="s">
        <v>109</v>
      </c>
      <c r="C14" s="29">
        <v>834</v>
      </c>
      <c r="D14" s="29" t="e">
        <f>#REF!*1.5</f>
        <v>#REF!</v>
      </c>
      <c r="E14" s="29" t="e">
        <f>D14/#REF!</f>
        <v>#REF!</v>
      </c>
      <c r="F14" s="29">
        <v>150</v>
      </c>
      <c r="G14" s="29">
        <v>3</v>
      </c>
      <c r="H14" s="25">
        <f t="shared" si="1"/>
        <v>6</v>
      </c>
      <c r="I14" s="25" t="s">
        <v>175</v>
      </c>
      <c r="J14" s="25">
        <v>62.2</v>
      </c>
      <c r="K14" s="25">
        <f t="shared" si="2"/>
        <v>187</v>
      </c>
    </row>
    <row r="15" spans="1:11" x14ac:dyDescent="0.3">
      <c r="A15" s="27" t="s">
        <v>89</v>
      </c>
      <c r="B15" s="29" t="s">
        <v>108</v>
      </c>
      <c r="C15" s="29">
        <v>894</v>
      </c>
      <c r="D15" s="29" t="e">
        <f>#REF!*1.5</f>
        <v>#REF!</v>
      </c>
      <c r="E15" s="29" t="e">
        <f>D15/#REF!</f>
        <v>#REF!</v>
      </c>
      <c r="F15" s="29">
        <v>150</v>
      </c>
      <c r="G15" s="29">
        <v>3</v>
      </c>
      <c r="H15" s="25">
        <f t="shared" si="1"/>
        <v>6</v>
      </c>
      <c r="I15" s="25" t="s">
        <v>176</v>
      </c>
      <c r="J15" s="25">
        <v>88.2</v>
      </c>
      <c r="K15" s="25">
        <f t="shared" si="2"/>
        <v>265</v>
      </c>
    </row>
    <row r="16" spans="1:11" x14ac:dyDescent="0.3">
      <c r="A16" s="27" t="s">
        <v>84</v>
      </c>
      <c r="B16" s="29" t="s">
        <v>110</v>
      </c>
      <c r="C16" s="29">
        <v>870</v>
      </c>
      <c r="D16" s="29">
        <f>C16*1.5</f>
        <v>1305</v>
      </c>
      <c r="E16" s="29">
        <f>D16/C16</f>
        <v>1.5</v>
      </c>
      <c r="F16" s="29">
        <v>1000</v>
      </c>
      <c r="G16" s="29">
        <v>1</v>
      </c>
      <c r="H16" s="25">
        <f t="shared" si="1"/>
        <v>1</v>
      </c>
      <c r="I16" s="25" t="s">
        <v>167</v>
      </c>
      <c r="J16" s="25">
        <v>527</v>
      </c>
      <c r="K16" s="25">
        <f t="shared" si="2"/>
        <v>527</v>
      </c>
    </row>
    <row r="17" spans="1:19" x14ac:dyDescent="0.3">
      <c r="A17" s="27" t="s">
        <v>67</v>
      </c>
      <c r="B17" s="29" t="s">
        <v>111</v>
      </c>
      <c r="C17" s="29">
        <v>870</v>
      </c>
      <c r="D17" s="29">
        <f>C17*1.5</f>
        <v>1305</v>
      </c>
      <c r="E17" s="29">
        <f>D17/C17</f>
        <v>1.5</v>
      </c>
      <c r="F17" s="29">
        <v>350</v>
      </c>
      <c r="G17" s="29">
        <v>1</v>
      </c>
      <c r="H17" s="25">
        <f t="shared" si="1"/>
        <v>3</v>
      </c>
      <c r="I17" s="25" t="s">
        <v>167</v>
      </c>
      <c r="J17" s="25">
        <v>184.2</v>
      </c>
      <c r="K17" s="25">
        <f t="shared" si="2"/>
        <v>185</v>
      </c>
    </row>
    <row r="18" spans="1:19" s="21" customFormat="1" x14ac:dyDescent="0.3">
      <c r="A18" s="37" t="s">
        <v>124</v>
      </c>
      <c r="B18" s="38"/>
      <c r="C18" s="39"/>
      <c r="D18" s="40"/>
      <c r="E18" s="40"/>
      <c r="F18" s="38"/>
      <c r="G18" s="38"/>
      <c r="H18" s="41"/>
      <c r="I18" s="41"/>
      <c r="J18" s="41"/>
      <c r="K18" s="41"/>
      <c r="L18" s="7"/>
      <c r="M18" s="7"/>
      <c r="N18" s="7"/>
      <c r="O18" s="7"/>
      <c r="P18" s="7"/>
      <c r="Q18" s="7"/>
      <c r="R18" s="7"/>
      <c r="S18" s="7"/>
    </row>
    <row r="19" spans="1:19" x14ac:dyDescent="0.3">
      <c r="A19" s="27" t="s">
        <v>85</v>
      </c>
      <c r="B19" s="29" t="s">
        <v>104</v>
      </c>
      <c r="C19" s="29">
        <v>300</v>
      </c>
      <c r="D19" s="29">
        <f t="shared" ref="D19:D25" si="3">C19*1.5</f>
        <v>450</v>
      </c>
      <c r="E19" s="29">
        <f t="shared" ref="E19:E25" si="4">D19/C19</f>
        <v>1.5</v>
      </c>
      <c r="F19" s="29">
        <v>25</v>
      </c>
      <c r="G19" s="29">
        <v>5</v>
      </c>
      <c r="H19" s="25">
        <f t="shared" ref="H19:H25" si="5">ROUNDUP(C19/F19,0)</f>
        <v>12</v>
      </c>
      <c r="I19" s="25" t="s">
        <v>167</v>
      </c>
      <c r="J19" s="25">
        <v>13</v>
      </c>
      <c r="K19" s="25">
        <f t="shared" si="2"/>
        <v>65</v>
      </c>
    </row>
    <row r="20" spans="1:19" x14ac:dyDescent="0.3">
      <c r="A20" s="27" t="s">
        <v>86</v>
      </c>
      <c r="B20" s="29" t="s">
        <v>105</v>
      </c>
      <c r="C20" s="29">
        <v>294</v>
      </c>
      <c r="D20" s="29">
        <f t="shared" si="3"/>
        <v>441</v>
      </c>
      <c r="E20" s="29">
        <f t="shared" si="4"/>
        <v>1.5</v>
      </c>
      <c r="F20" s="29">
        <v>25</v>
      </c>
      <c r="G20" s="29">
        <v>5</v>
      </c>
      <c r="H20" s="25">
        <f t="shared" si="5"/>
        <v>12</v>
      </c>
      <c r="I20" s="25" t="s">
        <v>167</v>
      </c>
      <c r="J20" s="25">
        <v>13</v>
      </c>
      <c r="K20" s="25">
        <f t="shared" si="2"/>
        <v>65</v>
      </c>
    </row>
    <row r="21" spans="1:19" x14ac:dyDescent="0.3">
      <c r="A21" s="27" t="s">
        <v>87</v>
      </c>
      <c r="B21" s="29" t="s">
        <v>107</v>
      </c>
      <c r="C21" s="29">
        <v>276</v>
      </c>
      <c r="D21" s="29">
        <f t="shared" si="3"/>
        <v>414</v>
      </c>
      <c r="E21" s="29">
        <f t="shared" si="4"/>
        <v>1.5</v>
      </c>
      <c r="F21" s="29">
        <v>25</v>
      </c>
      <c r="G21" s="29">
        <v>5</v>
      </c>
      <c r="H21" s="25">
        <f t="shared" si="5"/>
        <v>12</v>
      </c>
      <c r="I21" s="25" t="s">
        <v>167</v>
      </c>
      <c r="J21" s="25">
        <v>13</v>
      </c>
      <c r="K21" s="25">
        <f t="shared" si="2"/>
        <v>65</v>
      </c>
    </row>
    <row r="22" spans="1:19" x14ac:dyDescent="0.3">
      <c r="A22" s="27" t="s">
        <v>88</v>
      </c>
      <c r="B22" s="29" t="s">
        <v>109</v>
      </c>
      <c r="C22" s="29">
        <v>861</v>
      </c>
      <c r="D22" s="29">
        <f t="shared" si="3"/>
        <v>1291.5</v>
      </c>
      <c r="E22" s="29">
        <f t="shared" si="4"/>
        <v>1.5</v>
      </c>
      <c r="F22" s="29">
        <v>150</v>
      </c>
      <c r="G22" s="29">
        <v>3</v>
      </c>
      <c r="H22" s="25">
        <f t="shared" si="5"/>
        <v>6</v>
      </c>
      <c r="I22" s="25" t="s">
        <v>175</v>
      </c>
      <c r="J22" s="25">
        <v>62.2</v>
      </c>
      <c r="K22" s="25">
        <f t="shared" si="2"/>
        <v>187</v>
      </c>
    </row>
    <row r="23" spans="1:19" x14ac:dyDescent="0.3">
      <c r="A23" s="27" t="s">
        <v>89</v>
      </c>
      <c r="B23" s="29" t="s">
        <v>108</v>
      </c>
      <c r="C23" s="29">
        <v>869</v>
      </c>
      <c r="D23" s="29">
        <f t="shared" si="3"/>
        <v>1303.5</v>
      </c>
      <c r="E23" s="29">
        <f t="shared" si="4"/>
        <v>1.5</v>
      </c>
      <c r="F23" s="29">
        <v>150</v>
      </c>
      <c r="G23" s="29">
        <v>3</v>
      </c>
      <c r="H23" s="25">
        <f t="shared" si="5"/>
        <v>6</v>
      </c>
      <c r="I23" s="25" t="s">
        <v>176</v>
      </c>
      <c r="J23" s="25">
        <v>88.2</v>
      </c>
      <c r="K23" s="25">
        <f t="shared" si="2"/>
        <v>265</v>
      </c>
    </row>
    <row r="24" spans="1:19" x14ac:dyDescent="0.3">
      <c r="A24" s="27" t="s">
        <v>84</v>
      </c>
      <c r="B24" s="29" t="s">
        <v>110</v>
      </c>
      <c r="C24" s="29">
        <v>870</v>
      </c>
      <c r="D24" s="29">
        <f t="shared" si="3"/>
        <v>1305</v>
      </c>
      <c r="E24" s="29">
        <f t="shared" si="4"/>
        <v>1.5</v>
      </c>
      <c r="F24" s="29">
        <v>1000</v>
      </c>
      <c r="G24" s="29">
        <v>1</v>
      </c>
      <c r="H24" s="25">
        <f t="shared" si="5"/>
        <v>1</v>
      </c>
      <c r="I24" s="25" t="s">
        <v>167</v>
      </c>
      <c r="J24" s="25">
        <v>527</v>
      </c>
      <c r="K24" s="25">
        <f t="shared" si="2"/>
        <v>527</v>
      </c>
    </row>
    <row r="25" spans="1:19" x14ac:dyDescent="0.3">
      <c r="A25" s="27" t="s">
        <v>130</v>
      </c>
      <c r="B25" s="29" t="s">
        <v>111</v>
      </c>
      <c r="C25" s="29">
        <v>870</v>
      </c>
      <c r="D25" s="29">
        <f t="shared" si="3"/>
        <v>1305</v>
      </c>
      <c r="E25" s="29">
        <f t="shared" si="4"/>
        <v>1.5</v>
      </c>
      <c r="F25" s="29">
        <v>500</v>
      </c>
      <c r="G25" s="29">
        <v>1</v>
      </c>
      <c r="H25" s="29">
        <f t="shared" si="5"/>
        <v>2</v>
      </c>
      <c r="I25" s="29" t="s">
        <v>167</v>
      </c>
      <c r="J25" s="29">
        <v>247</v>
      </c>
      <c r="K25" s="29">
        <f t="shared" si="2"/>
        <v>247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D2028-8AC2-4D3E-9B6A-433158DB4F69}">
  <dimension ref="E7:L15"/>
  <sheetViews>
    <sheetView topLeftCell="A3" workbookViewId="0">
      <selection activeCell="H21" sqref="H21"/>
    </sheetView>
  </sheetViews>
  <sheetFormatPr baseColWidth="10" defaultRowHeight="14.4" x14ac:dyDescent="0.3"/>
  <cols>
    <col min="12" max="12" width="16.33203125" bestFit="1" customWidth="1"/>
  </cols>
  <sheetData>
    <row r="7" spans="5:12" ht="15" thickBot="1" x14ac:dyDescent="0.35"/>
    <row r="8" spans="5:12" ht="40.200000000000003" thickBot="1" x14ac:dyDescent="0.35">
      <c r="E8" s="53" t="s">
        <v>141</v>
      </c>
      <c r="F8" s="53" t="s">
        <v>145</v>
      </c>
      <c r="G8" s="53" t="s">
        <v>142</v>
      </c>
      <c r="H8" s="53" t="s">
        <v>172</v>
      </c>
      <c r="I8" s="53" t="s">
        <v>146</v>
      </c>
      <c r="J8" s="53" t="s">
        <v>147</v>
      </c>
      <c r="K8" s="53" t="s">
        <v>148</v>
      </c>
      <c r="L8" s="54" t="s">
        <v>149</v>
      </c>
    </row>
    <row r="9" spans="5:12" ht="27" thickBot="1" x14ac:dyDescent="0.35">
      <c r="E9" s="53" t="s">
        <v>150</v>
      </c>
      <c r="F9" s="52">
        <v>906</v>
      </c>
      <c r="G9" s="52">
        <v>15</v>
      </c>
      <c r="H9" s="52" t="s">
        <v>173</v>
      </c>
      <c r="I9" s="52">
        <v>2.1</v>
      </c>
      <c r="J9" s="52" t="s">
        <v>151</v>
      </c>
      <c r="K9" s="52" t="s">
        <v>152</v>
      </c>
      <c r="L9" s="52">
        <v>61</v>
      </c>
    </row>
    <row r="10" spans="5:12" ht="40.200000000000003" thickBot="1" x14ac:dyDescent="0.35">
      <c r="E10" s="53" t="s">
        <v>153</v>
      </c>
      <c r="F10" s="52">
        <v>845</v>
      </c>
      <c r="G10" s="52">
        <v>15</v>
      </c>
      <c r="H10" s="52" t="s">
        <v>173</v>
      </c>
      <c r="I10" s="52">
        <v>1.9</v>
      </c>
      <c r="J10" s="52" t="s">
        <v>154</v>
      </c>
      <c r="K10" s="52" t="s">
        <v>155</v>
      </c>
      <c r="L10" s="52">
        <v>57</v>
      </c>
    </row>
    <row r="11" spans="5:12" ht="27" thickBot="1" x14ac:dyDescent="0.35">
      <c r="E11" s="53" t="s">
        <v>156</v>
      </c>
      <c r="F11" s="52">
        <v>440</v>
      </c>
      <c r="G11" s="52">
        <v>20</v>
      </c>
      <c r="H11" s="52"/>
      <c r="I11" s="52">
        <v>1</v>
      </c>
      <c r="J11" s="52" t="s">
        <v>157</v>
      </c>
      <c r="K11" s="52" t="s">
        <v>171</v>
      </c>
      <c r="L11" s="52">
        <v>22</v>
      </c>
    </row>
    <row r="12" spans="5:12" ht="27" thickBot="1" x14ac:dyDescent="0.35">
      <c r="E12" s="53" t="s">
        <v>158</v>
      </c>
      <c r="F12" s="52">
        <v>440</v>
      </c>
      <c r="G12" s="52">
        <v>20</v>
      </c>
      <c r="H12" s="52"/>
      <c r="I12" s="52">
        <v>1</v>
      </c>
      <c r="J12" s="52" t="s">
        <v>157</v>
      </c>
      <c r="K12" s="52" t="s">
        <v>159</v>
      </c>
      <c r="L12" s="52">
        <v>22</v>
      </c>
    </row>
    <row r="13" spans="5:12" ht="15" thickBot="1" x14ac:dyDescent="0.35">
      <c r="E13" s="53" t="s">
        <v>67</v>
      </c>
      <c r="F13" s="52">
        <v>7040</v>
      </c>
      <c r="G13" s="52">
        <v>1000</v>
      </c>
      <c r="H13" s="52">
        <v>9000</v>
      </c>
      <c r="I13" s="52">
        <v>16</v>
      </c>
      <c r="J13" s="52" t="s">
        <v>160</v>
      </c>
      <c r="K13" s="52" t="s">
        <v>161</v>
      </c>
      <c r="L13" s="52">
        <v>8</v>
      </c>
    </row>
    <row r="14" spans="5:12" ht="15" thickBot="1" x14ac:dyDescent="0.35">
      <c r="E14" s="53" t="s">
        <v>144</v>
      </c>
      <c r="F14" s="52">
        <v>803</v>
      </c>
      <c r="G14" s="52">
        <v>201</v>
      </c>
      <c r="H14" s="52">
        <v>9000</v>
      </c>
      <c r="I14" s="52">
        <v>1.8</v>
      </c>
      <c r="J14" s="52" t="s">
        <v>162</v>
      </c>
      <c r="K14" s="52" t="s">
        <v>163</v>
      </c>
      <c r="L14" s="52">
        <v>4</v>
      </c>
    </row>
    <row r="15" spans="5:12" ht="15" thickBot="1" x14ac:dyDescent="0.35">
      <c r="E15" s="53" t="s">
        <v>143</v>
      </c>
      <c r="F15" s="52">
        <v>1606</v>
      </c>
      <c r="G15" s="52">
        <v>1000</v>
      </c>
      <c r="H15" s="52"/>
      <c r="I15" s="52">
        <v>3.7</v>
      </c>
      <c r="J15" s="52" t="s">
        <v>164</v>
      </c>
      <c r="K15" s="52" t="s">
        <v>165</v>
      </c>
      <c r="L15" s="52"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Poste1</vt:lpstr>
      <vt:lpstr>Poste 2</vt:lpstr>
      <vt:lpstr>Poste 3+4</vt:lpstr>
      <vt:lpstr>Dim_stock</vt:lpstr>
      <vt:lpstr>Gestion-stock-labo2</vt:lpstr>
      <vt:lpstr>Appr interne</vt:lpstr>
      <vt:lpstr>manutation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Latitude 6430U</dc:creator>
  <cp:lastModifiedBy>mohamed.saissi-hassani</cp:lastModifiedBy>
  <dcterms:created xsi:type="dcterms:W3CDTF">2025-10-23T08:04:18Z</dcterms:created>
  <dcterms:modified xsi:type="dcterms:W3CDTF">2026-02-23T08:38:34Z</dcterms:modified>
</cp:coreProperties>
</file>